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0f2e880b1614ad5" /></Relationships>
</file>

<file path=xl/workbook.xml><?xml version="1.0" encoding="utf-8"?>
<x:workbook xmlns:x="http://schemas.openxmlformats.org/spreadsheetml/2006/main">
  <x:sheets>
    <x:sheet xmlns:r="http://schemas.openxmlformats.org/officeDocument/2006/relationships" name="Project Scope" sheetId="1" r:id="R98d833f02417478f"/>
    <x:sheet xmlns:r="http://schemas.openxmlformats.org/officeDocument/2006/relationships" name="Literature" sheetId="2" r:id="Rac2b3ef036194e39"/>
    <x:sheet xmlns:r="http://schemas.openxmlformats.org/officeDocument/2006/relationships" name="Evidence" sheetId="3" r:id="R611beec1580b4919"/>
    <x:sheet xmlns:r="http://schemas.openxmlformats.org/officeDocument/2006/relationships" name="Claim Map" sheetId="4" r:id="Rda23af1342614aac"/>
    <x:sheet xmlns:r="http://schemas.openxmlformats.org/officeDocument/2006/relationships" name="Comparability" sheetId="5" r:id="R29e6219765f54fd7"/>
    <x:sheet xmlns:r="http://schemas.openxmlformats.org/officeDocument/2006/relationships" name="Unresolved" sheetId="6" r:id="R4ea870fcfa7649c5"/>
    <x:sheet xmlns:r="http://schemas.openxmlformats.org/officeDocument/2006/relationships" name="Version Log" sheetId="7" r:id="R6939c34a67854960"/>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7">
    <x:font>
      <x:sz val="11"/>
      <x:name val="Carlito"/>
    </x:font>
    <x:font>
      <x:b/>
      <x:sz val="11"/>
      <x:color rgb="FFFFFFFF"/>
      <x:name val="Carlito"/>
    </x:font>
    <x:font>
      <x:i/>
      <x:sz val="11"/>
      <x:color rgb="FF1F2937"/>
      <x:name val="Carlito"/>
    </x:font>
    <x:font>
      <x:b/>
      <x:sz val="11"/>
      <x:color rgb="FF1F2937"/>
      <x:name val="Carlito"/>
    </x:font>
    <x:font>
      <x:sz val="11"/>
      <x:color rgb="FF1F2937"/>
      <x:name val="Carlito"/>
    </x:font>
    <x:font>
      <x:b/>
      <x:sz val="11"/>
      <x:color rgb="FF17365D"/>
      <x:name val="Carlito"/>
    </x:font>
    <x:font>
      <x:b/>
      <x:i/>
      <x:sz val="11"/>
      <x:color rgb="FF17365D"/>
      <x:name val="Carlito"/>
    </x:font>
  </x:fonts>
  <x:fills count="9">
    <x:fill>
      <x:patternFill patternType="none"/>
    </x:fill>
    <x:fill>
      <x:patternFill patternType="gray125"/>
    </x:fill>
    <x:fill>
      <x:patternFill patternType="solid">
        <x:fgColor rgb="FF1F4E78"/>
      </x:patternFill>
    </x:fill>
    <x:fill>
      <x:patternFill patternType="solid">
        <x:fgColor rgb="FFEFF5FA"/>
      </x:patternFill>
    </x:fill>
    <x:fill>
      <x:patternFill patternType="solid">
        <x:fgColor rgb="FFDCE6F1"/>
      </x:patternFill>
    </x:fill>
    <x:fill>
      <x:patternFill patternType="solid">
        <x:fgColor rgb="FFFFF2CC"/>
      </x:patternFill>
    </x:fill>
    <x:fill>
      <x:patternFill patternType="solid">
        <x:fgColor rgb="FFF3F4F6"/>
      </x:patternFill>
    </x:fill>
    <x:fill>
      <x:patternFill patternType="solid">
        <x:fgColor rgb="FFEAF2F8"/>
      </x:patternFill>
    </x:fill>
    <x:fill>
      <x:patternFill patternType="solid">
        <x:fgColor rgb="FF1F4E78"/>
      </x:patternFill>
    </x:fill>
  </x:fills>
  <x:borders count="12">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s>
  <x:cellStyleXfs count="1">
    <x:xf numFmtId="0" fontId="0" fillId="0" borderId="0"/>
  </x:cellStyleXfs>
  <x:cellXfs count="65">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200" fontId="4" fillId="5"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2" fillId="6" borderId="0" xfId="0" applyNumberFormat="1" applyFont="1" applyFill="1" applyBorder="1" applyAlignment="1">
      <x:alignment vertical="top" wrapText="1"/>
    </x:xf>
    <x:xf numFmtId="0" fontId="1" fillId="2" borderId="4" xfId="0" applyNumberFormat="1" applyFont="1" applyFill="1" applyBorder="1" applyAlignment="1">
      <x:alignment horizontal="left" vertical="center"/>
    </x:xf>
    <x:xf numFmtId="0" fontId="0" fillId="0" borderId="5" xfId="0" applyNumberFormat="1" applyFont="1" applyFill="1" applyBorder="1"/>
    <x:xf numFmtId="0" fontId="0" fillId="0" borderId="6" xfId="0" applyNumberFormat="1" applyFont="1" applyFill="1" applyBorder="1"/>
    <x:xf numFmtId="0" fontId="2" fillId="3" borderId="7" xfId="0" applyNumberFormat="1" applyFont="1" applyFill="1" applyBorder="1" applyAlignment="1">
      <x:alignment vertical="center" wrapText="1"/>
    </x:xf>
    <x:xf numFmtId="0" fontId="0" fillId="0" borderId="0" xfId="0" applyNumberFormat="1" applyFont="1" applyFill="1" applyBorder="1"/>
    <x:xf numFmtId="0" fontId="0" fillId="0" borderId="8" xfId="0" applyNumberFormat="1" applyFont="1" applyFill="1" applyBorder="1"/>
    <x:xf numFmtId="0" fontId="4" fillId="5" borderId="7" xfId="0" applyNumberFormat="1" applyFont="1" applyFill="1" applyBorder="1" applyAlignment="1">
      <x:alignment vertical="top" wrapText="1"/>
    </x:xf>
    <x:xf numFmtId="0" fontId="2" fillId="6" borderId="8"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200" fontId="4" fillId="0" borderId="10" xfId="0" applyNumberFormat="1" applyFont="1" applyFill="1" applyBorder="1" applyAlignment="1">
      <x:alignment vertical="top" wrapText="1"/>
    </x:xf>
    <x:xf numFmtId="0" fontId="2" fillId="6" borderId="11" xfId="0" applyNumberFormat="1" applyFont="1" applyFill="1" applyBorder="1" applyAlignment="1">
      <x:alignment vertical="top" wrapText="1"/>
    </x:xf>
    <x:xf numFmtId="0" fontId="1" fillId="7" borderId="4" xfId="0" applyNumberFormat="1" applyFont="1" applyFill="1" applyBorder="1" applyAlignment="1">
      <x:alignment horizontal="left" vertical="center"/>
    </x:xf>
    <x:xf numFmtId="0" fontId="0" fillId="7" borderId="5" xfId="0" applyNumberFormat="1" applyFont="1" applyFill="1" applyBorder="1"/>
    <x:xf numFmtId="0" fontId="0" fillId="7" borderId="6" xfId="0" applyNumberFormat="1" applyFont="1" applyFill="1" applyBorder="1"/>
    <x:xf numFmtId="0" fontId="2" fillId="7" borderId="7" xfId="0" applyNumberFormat="1" applyFont="1" applyFill="1" applyBorder="1" applyAlignment="1">
      <x:alignment vertical="center" wrapText="1"/>
    </x:xf>
    <x:xf numFmtId="0" fontId="0" fillId="7" borderId="0" xfId="0" applyNumberFormat="1" applyFont="1" applyFill="1" applyBorder="1"/>
    <x:xf numFmtId="0" fontId="0" fillId="7" borderId="8" xfId="0" applyNumberFormat="1" applyFont="1" applyFill="1" applyBorder="1"/>
    <x:xf numFmtId="0" fontId="5" fillId="7" borderId="4" xfId="0" applyNumberFormat="1" applyFont="1" applyFill="1" applyBorder="1" applyAlignment="1">
      <x:alignment horizontal="left" vertical="center"/>
    </x:xf>
    <x:xf numFmtId="0" fontId="5" fillId="7" borderId="5" xfId="0" applyNumberFormat="1" applyFont="1" applyFill="1" applyBorder="1"/>
    <x:xf numFmtId="0" fontId="5" fillId="7" borderId="6" xfId="0" applyNumberFormat="1" applyFont="1" applyFill="1" applyBorder="1"/>
    <x:xf numFmtId="0" fontId="6" fillId="7" borderId="7" xfId="0" applyNumberFormat="1" applyFont="1" applyFill="1" applyBorder="1" applyAlignment="1">
      <x:alignment vertical="center" wrapText="1"/>
    </x:xf>
    <x:xf numFmtId="0" fontId="5" fillId="7" borderId="0" xfId="0" applyNumberFormat="1" applyFont="1" applyFill="1" applyBorder="1"/>
    <x:xf numFmtId="0" fontId="5" fillId="7" borderId="8" xfId="0" applyNumberFormat="1" applyFont="1" applyFill="1" applyBorder="1"/>
    <x:xf numFmtId="0" fontId="3" fillId="8" borderId="1" xfId="0" applyNumberFormat="1" applyFont="1" applyFill="1" applyBorder="1" applyAlignment="1">
      <x:alignment horizontal="center" vertical="center" wrapText="1"/>
    </x:xf>
    <x:xf numFmtId="0" fontId="3" fillId="8" borderId="2" xfId="0" applyNumberFormat="1" applyFont="1" applyFill="1" applyBorder="1" applyAlignment="1">
      <x:alignment horizontal="center" vertical="center" wrapText="1"/>
    </x:xf>
    <x:xf numFmtId="0" fontId="3" fillId="8" borderId="3" xfId="0" applyNumberFormat="1" applyFont="1" applyFill="1" applyBorder="1" applyAlignment="1">
      <x:alignment horizontal="center" vertical="center" wrapText="1"/>
    </x:xf>
    <x:xf numFmtId="0" fontId="1" fillId="8" borderId="1" xfId="0" applyNumberFormat="1" applyFont="1" applyFill="1" applyBorder="1" applyAlignment="1">
      <x:alignment horizontal="center" vertical="center" wrapText="1"/>
    </x:xf>
    <x:xf numFmtId="0" fontId="1" fillId="8" borderId="2" xfId="0" applyNumberFormat="1" applyFont="1" applyFill="1" applyBorder="1" applyAlignment="1">
      <x:alignment horizontal="center" vertical="center" wrapText="1"/>
    </x:xf>
    <x:xf numFmtId="0" fontId="1" fillId="8" borderId="3"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b6f2db82c6b4874" /><Relationship Type="http://schemas.openxmlformats.org/officeDocument/2006/relationships/theme" Target="/xl/theme/theme1.xml" Id="Rfd5df505928a4055" /><Relationship Type="http://schemas.openxmlformats.org/officeDocument/2006/relationships/sharedStrings" Target="/xl/sharedStrings.xml" Id="Raa34ebd4589e4ca8" /><Relationship Type="http://schemas.openxmlformats.org/officeDocument/2006/relationships/worksheet" Target="/xl/worksheets/sheet1.xml" Id="R98d833f02417478f" /><Relationship Type="http://schemas.openxmlformats.org/officeDocument/2006/relationships/worksheet" Target="/xl/worksheets/sheet2.xml" Id="Rac2b3ef036194e39" /><Relationship Type="http://schemas.openxmlformats.org/officeDocument/2006/relationships/worksheet" Target="/xl/worksheets/sheet3.xml" Id="R611beec1580b4919" /><Relationship Type="http://schemas.openxmlformats.org/officeDocument/2006/relationships/worksheet" Target="/xl/worksheets/sheet4.xml" Id="Rda23af1342614aac" /><Relationship Type="http://schemas.openxmlformats.org/officeDocument/2006/relationships/worksheet" Target="/xl/worksheets/sheet5.xml" Id="R29e6219765f54fd7" /><Relationship Type="http://schemas.openxmlformats.org/officeDocument/2006/relationships/worksheet" Target="/xl/worksheets/sheet6.xml" Id="R4ea870fcfa7649c5" /><Relationship Type="http://schemas.openxmlformats.org/officeDocument/2006/relationships/worksheet" Target="/xl/worksheets/sheet7.xml" Id="R6939c34a67854960" /></Relationships>
</file>

<file path=xl/tables/table1.xml><?xml version="1.0" encoding="utf-8"?>
<x:table xmlns:x="http://schemas.openxmlformats.org/spreadsheetml/2006/main" id="8" name="ScopeTable" displayName="ScopeTable" ref="A3:K5" headerRowCount="1" totalsRowCount="0" totalsRowShown="0">
  <x:tableColumns count="11">
    <x:tableColumn id="1" name="Decision ID"/>
    <x:tableColumn id="2" name="Scope element"/>
    <x:tableColumn id="3" name="Working decision"/>
    <x:tableColumn id="4" name="Rationale / evidence"/>
    <x:tableColumn id="5" name="Exclusions"/>
    <x:tableColumn id="6" name="Provisional classification axis"/>
    <x:tableColumn id="7" name="Review status"/>
    <x:tableColumn id="8" name="Owner"/>
    <x:tableColumn id="9" name="Decision date"/>
    <x:tableColumn id="10" name="Next action"/>
    <x:tableColumn id="11" name="ID check"/>
  </x:tableColumns>
  <x:tableStyleInfo name="TableStyleMedium2" showFirstColumn="0" showLastColumn="0" showRowStripes="1" showColumnStripes="0"/>
</x:table>
</file>

<file path=xl/tables/table2.xml><?xml version="1.0" encoding="utf-8"?>
<x:table xmlns:x="http://schemas.openxmlformats.org/spreadsheetml/2006/main" id="9" name="LiteratureTable" displayName="LiteratureTable" ref="A3:J32" headerRowCount="1" totalsRowCount="0" totalsRowShown="0">
  <x:tableColumns count="10">
    <x:tableColumn id="1" name="Literature ID"/>
    <x:tableColumn id="2" name="Citation"/>
    <x:tableColumn id="3" name="Source URL"/>
    <x:tableColumn id="4" name="Access / traceability status"/>
    <x:tableColumn id="5" name="Inclusion decision"/>
    <x:tableColumn id="6" name="Review status"/>
    <x:tableColumn id="7" name="Application context"/>
    <x:tableColumn id="8" name="Scheduling problem / notation"/>
    <x:tableColumn id="9" name="Notes / taxonomy extension detail"/>
    <x:tableColumn id="10" name="ID check"/>
  </x:tableColumns>
  <x:tableStyleInfo name="TableStyleMedium2" showFirstColumn="0" showLastColumn="0" showRowStripes="1" showColumnStripes="0"/>
</x:table>
</file>

<file path=xl/tables/table3.xml><?xml version="1.0" encoding="utf-8"?>
<x:table xmlns:x="http://schemas.openxmlformats.org/spreadsheetml/2006/main" id="10" name="EvidenceTable" displayName="EvidenceTable" ref="A3:BB32" headerRowCount="1" totalsRowCount="0" totalsRowShown="0">
  <x:tableColumns count="54">
    <x:tableColumn id="1" name="Evidence ID"/>
    <x:tableColumn id="2" name="Literature ID"/>
    <x:tableColumn id="3" name="Source location"/>
    <x:tableColumn id="4" name="Access / traceability status"/>
    <x:tableColumn id="5" name="Scheduling problem / notation"/>
    <x:tableColumn id="6" name="Application context"/>
    <x:tableColumn id="7" name="Decision object"/>
    <x:tableColumn id="8" name="System entities"/>
    <x:tableColumn id="9" name="Decision variables"/>
    <x:tableColumn id="10" name="Objectives"/>
    <x:tableColumn id="11" name="Constraints"/>
    <x:tableColumn id="12" name="Assumptions"/>
    <x:tableColumn id="13" name="Environment"/>
    <x:tableColumn id="14" name="Offline / online status"/>
    <x:tableColumn id="15" name="Event detection / rescheduling trigger"/>
    <x:tableColumn id="16" name="Disturbance model"/>
    <x:tableColumn id="17" name="Disturbance timing"/>
    <x:tableColumn id="18" name="Disturbance duration"/>
    <x:tableColumn id="19" name="Affected resource"/>
    <x:tableColumn id="20" name="Recovery policy"/>
    <x:tableColumn id="21" name="Coupling"/>
    <x:tableColumn id="22" name="Solution family"/>
    <x:tableColumn id="23" name="Evaluation objective"/>
    <x:tableColumn id="24" name="Taxonomy extension detail"/>
    <x:tableColumn id="25" name="Encoding / state"/>
    <x:tableColumn id="26" name="Decoder / environment transition"/>
    <x:tableColumn id="27" name="Repair / conflict handling"/>
    <x:tableColumn id="28" name="Termination rule"/>
    <x:tableColumn id="29" name="Main algorithm loop"/>
    <x:tableColumn id="30" name="Improvement insertion point"/>
    <x:tableColumn id="31" name="Dataset / instance source"/>
    <x:tableColumn id="32" name="Jobs"/>
    <x:tableColumn id="33" name="Operations"/>
    <x:tableColumn id="34" name="Machines"/>
    <x:tableColumn id="35" name="AGVs"/>
    <x:tableColumn id="36" name="Layout"/>
    <x:tableColumn id="37" name="Scale tier"/>
    <x:tableColumn id="38" name="Baselines"/>
    <x:tableColumn id="39" name="Parameter budget"/>
    <x:tableColumn id="40" name="Stopping condition"/>
    <x:tableColumn id="41" name="Independent runs"/>
    <x:tableColumn id="42" name="Random seeds"/>
    <x:tableColumn id="43" name="Statistical tests"/>
    <x:tableColumn id="44" name="Metrics / Pareto reference point"/>
    <x:tableColumn id="45" name="Code / data / parameters"/>
    <x:tableColumn id="46" name="Author conclusion"/>
    <x:tableColumn id="47" name="Direct evidence"/>
    <x:tableColumn id="48" name="AI inference"/>
    <x:tableColumn id="49" name="Limitation"/>
    <x:tableColumn id="50" name="Unresolved verification"/>
    <x:tableColumn id="51" name="Evidence class"/>
    <x:tableColumn id="52" name="Evidence strength"/>
    <x:tableColumn id="53" name="Review status"/>
    <x:tableColumn id="54" name="ID check"/>
  </x:tableColumns>
  <x:tableStyleInfo name="TableStyleMedium2" showFirstColumn="0" showLastColumn="0" showRowStripes="1" showColumnStripes="0"/>
</x:table>
</file>

<file path=xl/tables/table4.xml><?xml version="1.0" encoding="utf-8"?>
<x:table xmlns:x="http://schemas.openxmlformats.org/spreadsheetml/2006/main" id="11" name="ClaimTable" displayName="ClaimTable" ref="A3:I3" headerRowCount="1" totalsRowCount="0" totalsRowShown="0">
  <x:tableColumns count="9">
    <x:tableColumn id="1" name="Claim ID"/>
    <x:tableColumn id="2" name="Evidence ID"/>
    <x:tableColumn id="3" name="Claim text"/>
    <x:tableColumn id="4" name="Evidence class"/>
    <x:tableColumn id="5" name="Evidence strength"/>
    <x:tableColumn id="6" name="Permitted wording"/>
    <x:tableColumn id="7" name="Comparison / limitation"/>
    <x:tableColumn id="8" name="Review status"/>
    <x:tableColumn id="9" name="ID check"/>
  </x:tableColumns>
  <x:tableStyleInfo name="TableStyleMedium2" showFirstColumn="0" showLastColumn="0" showRowStripes="1" showColumnStripes="0"/>
</x:table>
</file>

<file path=xl/tables/table5.xml><?xml version="1.0" encoding="utf-8"?>
<x:table xmlns:x="http://schemas.openxmlformats.org/spreadsheetml/2006/main" id="12" name="ComparabilityTable" displayName="ComparabilityTable" ref="A3:N3" headerRowCount="1" totalsRowCount="0" totalsRowShown="0">
  <x:tableColumns count="14">
    <x:tableColumn id="1" name="Comparison ID"/>
    <x:tableColumn id="2" name="Literature / evidence A"/>
    <x:tableColumn id="3" name="Literature / evidence B"/>
    <x:tableColumn id="4" name="Problem / objective compatible?"/>
    <x:tableColumn id="5" name="Instance / scale compatible?"/>
    <x:tableColumn id="6" name="Constraints / disturbance / information compatible?"/>
    <x:tableColumn id="7" name="Budget / stopping condition compatible?"/>
    <x:tableColumn id="8" name="Metric / normalization / reference point compatible?"/>
    <x:tableColumn id="9" name="Runs / statistics compatible?"/>
    <x:tableColumn id="10" name="Comparison verdict"/>
    <x:tableColumn id="11" name="Reason if not DIRECT"/>
    <x:tableColumn id="12" name="Permitted comparison"/>
    <x:tableColumn id="13" name="Review status"/>
    <x:tableColumn id="14" name="Reason check"/>
  </x:tableColumns>
  <x:tableStyleInfo name="TableStyleMedium2" showFirstColumn="0" showLastColumn="0" showRowStripes="1" showColumnStripes="0"/>
</x:table>
</file>

<file path=xl/tables/table6.xml><?xml version="1.0" encoding="utf-8"?>
<x:table xmlns:x="http://schemas.openxmlformats.org/spreadsheetml/2006/main" id="13" name="UnresolvedTable" displayName="UnresolvedTable" ref="A3:L32" headerRowCount="1" totalsRowCount="0" totalsRowShown="0">
  <x:tableColumns count="12">
    <x:tableColumn id="1" name="Issue ID"/>
    <x:tableColumn id="2" name="Related Literature ID"/>
    <x:tableColumn id="3" name="Related Evidence ID"/>
    <x:tableColumn id="4" name="Related Claim ID"/>
    <x:tableColumn id="5" name="Issue / missing detail"/>
    <x:tableColumn id="6" name="Why it matters"/>
    <x:tableColumn id="7" name="Verification source / next action"/>
    <x:tableColumn id="8" name="Priority"/>
    <x:tableColumn id="9" name="Review status"/>
    <x:tableColumn id="10" name="Owner"/>
    <x:tableColumn id="11" name="Date logged"/>
    <x:tableColumn id="12" name="ID check"/>
  </x:tableColumns>
  <x:tableStyleInfo name="TableStyleMedium2" showFirstColumn="0" showLastColumn="0" showRowStripes="1" showColumnStripes="0"/>
</x:table>
</file>

<file path=xl/tables/table7.xml><?xml version="1.0" encoding="utf-8"?>
<x:table xmlns:x="http://schemas.openxmlformats.org/spreadsheetml/2006/main" id="7" name="VersionLogTable" displayName="VersionLogTable" ref="A3:G4" headerRowCount="1" totalsRowCount="0" totalsRowShown="0">
  <x:autoFilter ref="A3:G4"/>
  <x:tableColumns count="7">
    <x:tableColumn id="1" name="Version"/>
    <x:tableColumn id="2" name="Date"/>
    <x:tableColumn id="3" name="Change summary"/>
    <x:tableColumn id="4" name="Scope / evidence impact"/>
    <x:tableColumn id="5" name="Reviewed by"/>
    <x:tableColumn id="6" name="Approval / review status"/>
    <x:tableColumn id="7" name="Version check"/>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6af6270f7174e73" /></Relationships>
</file>

<file path=xl/worksheets/_rels/sheet2.xml.rels>&#65279;<?xml version="1.0" encoding="utf-8"?><Relationships xmlns="http://schemas.openxmlformats.org/package/2006/relationships"><Relationship Type="http://schemas.openxmlformats.org/officeDocument/2006/relationships/table" Target="/xl/tables/table2.xml" Id="Ra3c5d9ffe08349c8" /></Relationships>
</file>

<file path=xl/worksheets/_rels/sheet3.xml.rels>&#65279;<?xml version="1.0" encoding="utf-8"?><Relationships xmlns="http://schemas.openxmlformats.org/package/2006/relationships"><Relationship Type="http://schemas.openxmlformats.org/officeDocument/2006/relationships/table" Target="/xl/tables/table3.xml" Id="Rda75840bcc854de8" /></Relationships>
</file>

<file path=xl/worksheets/_rels/sheet4.xml.rels>&#65279;<?xml version="1.0" encoding="utf-8"?><Relationships xmlns="http://schemas.openxmlformats.org/package/2006/relationships"><Relationship Type="http://schemas.openxmlformats.org/officeDocument/2006/relationships/table" Target="/xl/tables/table4.xml" Id="Rf21ae9da8df44230" /></Relationships>
</file>

<file path=xl/worksheets/_rels/sheet5.xml.rels>&#65279;<?xml version="1.0" encoding="utf-8"?><Relationships xmlns="http://schemas.openxmlformats.org/package/2006/relationships"><Relationship Type="http://schemas.openxmlformats.org/officeDocument/2006/relationships/table" Target="/xl/tables/table5.xml" Id="Rf9ae27d360444d6f" /></Relationships>
</file>

<file path=xl/worksheets/_rels/sheet6.xml.rels>&#65279;<?xml version="1.0" encoding="utf-8"?><Relationships xmlns="http://schemas.openxmlformats.org/package/2006/relationships"><Relationship Type="http://schemas.openxmlformats.org/officeDocument/2006/relationships/table" Target="/xl/tables/table6.xml" Id="Rbe4a9fc6c78f43e6" /></Relationships>
</file>

<file path=xl/worksheets/_rels/sheet7.xml.rels>&#65279;<?xml version="1.0" encoding="utf-8"?><Relationships xmlns="http://schemas.openxmlformats.org/package/2006/relationships"><Relationship Type="http://schemas.openxmlformats.org/officeDocument/2006/relationships/table" Target="/xl/tables/table7.xml" Id="R5700f1fa2d9243c4" /></Relationships>
</file>

<file path=xl/worksheets/sheet1.xml><?xml version="1.0" encoding="utf-8"?>
<x:worksheet xmlns:x="http://schemas.openxmlformats.org/spreadsheetml/2006/main">
  <x:sheetViews>
    <x:sheetView showGridLines="0" workbookViewId="0"/>
  </x:sheetViews>
  <x:sheetFormatPr defaultRowHeight="15"/>
  <x:cols>
    <x:col min="1" max="1" width="107.62999725341797" hidden="0" customWidth="1"/>
    <x:col min="2" max="2" width="14.25" hidden="0" customWidth="1"/>
    <x:col min="3" max="3" width="50" hidden="0" customWidth="1"/>
    <x:col min="4" max="4" width="23.75" hidden="0" customWidth="1"/>
    <x:col min="5" max="5" width="22.5" hidden="0" customWidth="1"/>
    <x:col min="6" max="6" width="31.5" hidden="0" customWidth="1"/>
    <x:col min="7" max="7" width="13.630000114440918" hidden="0" customWidth="1"/>
    <x:col min="8" max="8" width="8.25" hidden="0" customWidth="1"/>
    <x:col min="9" max="9" width="13.380000114440918" hidden="0" customWidth="1"/>
    <x:col min="10" max="10" width="12.880000114440918" hidden="0" customWidth="1"/>
    <x:col min="11" max="11" width="9.5" hidden="0" customWidth="1"/>
  </x:cols>
  <x:sheetData>
    <x:row r="1" ht="26" customHeight="1">
      <x:c r="A1" s="53" t="str">
        <x:v>Project Scope</x:v>
      </x:c>
      <x:c r="B1" s="54"/>
      <x:c r="C1" s="54"/>
      <x:c r="D1" s="54"/>
      <x:c r="E1" s="54"/>
      <x:c r="F1" s="54"/>
      <x:c r="G1" s="54"/>
      <x:c r="H1" s="54"/>
      <x:c r="I1" s="54"/>
      <x:c r="J1" s="54"/>
      <x:c r="K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7"/>
      <x:c r="J2" s="57"/>
      <x:c r="K2" s="58"/>
    </x:row>
    <x:row r="3" ht="36" customHeight="1">
      <x:c r="A3" s="62" t="str">
        <x:v>Decision ID</x:v>
      </x:c>
      <x:c r="B3" s="63" t="str">
        <x:v>Scope element</x:v>
      </x:c>
      <x:c r="C3" s="63" t="str">
        <x:v>Working decision</x:v>
      </x:c>
      <x:c r="D3" s="63" t="str">
        <x:v>Rationale / evidence</x:v>
      </x:c>
      <x:c r="E3" s="63" t="str">
        <x:v>Exclusions</x:v>
      </x:c>
      <x:c r="F3" s="63" t="str">
        <x:v>Provisional classification axis</x:v>
      </x:c>
      <x:c r="G3" s="63" t="str">
        <x:v>Review status</x:v>
      </x:c>
      <x:c r="H3" s="63" t="str">
        <x:v>Owner</x:v>
      </x:c>
      <x:c r="I3" s="63" t="str">
        <x:v>Decision date</x:v>
      </x:c>
      <x:c r="J3" s="63" t="str">
        <x:v>Next action</x:v>
      </x:c>
      <x:c r="K3" s="64" t="str">
        <x:v>ID check</x:v>
      </x:c>
    </x:row>
    <x:row r="4" ht="42" customHeight="1">
      <x:c r="A4" s="27" t="str">
        <x:v>D001</x:v>
      </x:c>
      <x:c r="B4" s="27" t="str">
        <x:v>泛式整合范围</x:v>
      </x:c>
      <x:c r="C4" s="27" t="str">
        <x:v>动态与静态、全部算法方法、模型模块与实验体系</x:v>
      </x:c>
      <x:c r="D4" s="27" t="str">
        <x:v>用户2026-09-02确认双轨结构</x:v>
      </x:c>
      <x:c r="E4" s="27" t="str">
        <x:v>不以泛式直接证明当前创新</x:v>
      </x:c>
      <x:c r="F4" s="27" t="str">
        <x:v>情境×算法族×模块×实验协议</x:v>
      </x:c>
      <x:c r="G4" s="27" t="str">
        <x:v>Approved</x:v>
      </x:c>
      <x:c r="H4" s="27" t="str">
        <x:v>Codex</x:v>
      </x:c>
      <x:c r="I4" s="27" t="n">
        <x:v>46267</x:v>
      </x:c>
      <x:c r="J4" s="27" t="str">
        <x:v>完成N5/N6精读</x:v>
      </x:c>
      <x:c r="K4" s="27" t="str">
        <x:v>OK</x:v>
      </x:c>
    </x:row>
    <x:row r="5" ht="42" customHeight="1">
      <x:c r="A5" s="27" t="str">
        <x:v>D002</x:v>
      </x:c>
      <x:c r="B5" s="27" t="str">
        <x:v>集中整合接口</x:v>
      </x:c>
      <x:c r="C5" s="27" t="str">
        <x:v>泛式提供候选与术语；集中独立执行六线检索和五类机制比较</x:v>
      </x:c>
      <x:c r="D5" s="27" t="str">
        <x:v>P02双轨README与集中协议</x:v>
      </x:c>
      <x:c r="E5" s="27" t="str">
        <x:v>跨问题性能直接排名</x:v>
      </x:c>
      <x:c r="F5" s="27" t="str">
        <x:v>Top-K/邻域/预算/RL超启发式/机器-AGV</x:v>
      </x:c>
      <x:c r="G5" s="27" t="str">
        <x:v>Approved</x:v>
      </x:c>
      <x:c r="H5" s="27" t="str">
        <x:v>Codex</x:v>
      </x:c>
      <x:c r="I5" s="27" t="n">
        <x:v>46267</x:v>
      </x:c>
      <x:c r="J5" s="27" t="str">
        <x:v>进入集中检索</x:v>
      </x:c>
      <x:c r="K5" s="27" t="str">
        <x:v>OK</x:v>
      </x:c>
    </x:row>
    <x:row r="6">
      <x:c r="A6"/>
      <x:c r="B6"/>
      <x:c r="C6"/>
      <x:c r="D6"/>
      <x:c r="E6"/>
      <x:c r="F6"/>
      <x:c r="G6"/>
      <x:c r="H6"/>
      <x:c r="I6"/>
      <x:c r="J6"/>
      <x:c r="K6"/>
    </x:row>
    <x:row r="7">
      <x:c r="A7"/>
      <x:c r="B7"/>
      <x:c r="C7"/>
      <x:c r="D7"/>
      <x:c r="E7"/>
      <x:c r="F7"/>
      <x:c r="G7"/>
      <x:c r="H7"/>
      <x:c r="I7"/>
      <x:c r="J7"/>
      <x:c r="K7"/>
    </x:row>
    <x:row r="8">
      <x:c r="A8"/>
      <x:c r="B8"/>
      <x:c r="C8"/>
      <x:c r="D8"/>
      <x:c r="E8"/>
      <x:c r="F8"/>
      <x:c r="G8"/>
      <x:c r="H8"/>
      <x:c r="I8"/>
      <x:c r="J8"/>
      <x:c r="K8"/>
    </x:row>
    <x:row r="9">
      <x:c r="A9"/>
      <x:c r="B9"/>
      <x:c r="C9"/>
      <x:c r="D9"/>
      <x:c r="E9"/>
      <x:c r="F9"/>
      <x:c r="G9"/>
      <x:c r="H9"/>
      <x:c r="I9"/>
      <x:c r="J9"/>
      <x:c r="K9"/>
    </x:row>
    <x:row r="10">
      <x:c r="A10"/>
      <x:c r="B10"/>
      <x:c r="C10"/>
      <x:c r="D10"/>
      <x:c r="E10"/>
      <x:c r="F10"/>
      <x:c r="G10"/>
      <x:c r="H10"/>
      <x:c r="I10"/>
      <x:c r="J10"/>
      <x:c r="K10"/>
    </x:row>
    <x:row r="11">
      <x:c r="A11"/>
      <x:c r="B11"/>
      <x:c r="C11"/>
      <x:c r="D11"/>
      <x:c r="E11"/>
      <x:c r="F11"/>
      <x:c r="G11"/>
      <x:c r="H11"/>
      <x:c r="I11"/>
      <x:c r="J11"/>
      <x:c r="K11"/>
    </x:row>
    <x:row r="12">
      <x:c r="A12"/>
      <x:c r="B12"/>
      <x:c r="C12"/>
      <x:c r="D12"/>
      <x:c r="E12"/>
      <x:c r="F12"/>
      <x:c r="G12"/>
      <x:c r="H12"/>
      <x:c r="I12"/>
      <x:c r="J12"/>
      <x:c r="K12"/>
    </x:row>
    <x:row r="13">
      <x:c r="A13"/>
      <x:c r="B13"/>
      <x:c r="C13"/>
      <x:c r="D13"/>
      <x:c r="E13"/>
      <x:c r="F13"/>
      <x:c r="G13"/>
      <x:c r="H13"/>
      <x:c r="I13"/>
      <x:c r="J13"/>
      <x:c r="K13"/>
    </x:row>
    <x:row r="14">
      <x:c r="A14"/>
      <x:c r="B14"/>
      <x:c r="C14"/>
      <x:c r="D14"/>
      <x:c r="E14"/>
      <x:c r="F14"/>
      <x:c r="G14"/>
      <x:c r="H14"/>
      <x:c r="I14"/>
      <x:c r="J14"/>
      <x:c r="K14"/>
    </x:row>
    <x:row r="15">
      <x:c r="A15"/>
      <x:c r="B15"/>
      <x:c r="C15"/>
      <x:c r="D15"/>
      <x:c r="E15"/>
      <x:c r="F15"/>
      <x:c r="G15"/>
      <x:c r="H15"/>
      <x:c r="I15"/>
      <x:c r="J15"/>
      <x:c r="K15"/>
    </x:row>
    <x:row r="16">
      <x:c r="A16"/>
      <x:c r="B16"/>
      <x:c r="C16"/>
      <x:c r="D16"/>
      <x:c r="E16"/>
      <x:c r="F16"/>
      <x:c r="G16"/>
      <x:c r="H16"/>
      <x:c r="I16"/>
      <x:c r="J16"/>
      <x:c r="K16"/>
    </x:row>
    <x:row r="17">
      <x:c r="A17"/>
      <x:c r="B17"/>
      <x:c r="C17"/>
      <x:c r="D17"/>
      <x:c r="E17"/>
      <x:c r="F17"/>
      <x:c r="G17"/>
      <x:c r="H17"/>
      <x:c r="I17"/>
      <x:c r="J17"/>
      <x:c r="K17"/>
    </x:row>
    <x:row r="18">
      <x:c r="A18"/>
      <x:c r="B18"/>
      <x:c r="C18"/>
      <x:c r="D18"/>
      <x:c r="E18"/>
      <x:c r="F18"/>
      <x:c r="G18"/>
      <x:c r="H18"/>
      <x:c r="I18"/>
      <x:c r="J18"/>
      <x:c r="K18"/>
    </x:row>
    <x:row r="19">
      <x:c r="A19"/>
      <x:c r="B19"/>
      <x:c r="C19"/>
      <x:c r="D19"/>
      <x:c r="E19"/>
      <x:c r="F19"/>
      <x:c r="G19"/>
      <x:c r="H19"/>
      <x:c r="I19"/>
      <x:c r="J19"/>
      <x:c r="K19"/>
    </x:row>
    <x:row r="20">
      <x:c r="A20"/>
      <x:c r="B20"/>
      <x:c r="C20"/>
      <x:c r="D20"/>
      <x:c r="E20"/>
      <x:c r="F20"/>
      <x:c r="G20"/>
      <x:c r="H20"/>
      <x:c r="I20"/>
      <x:c r="J20"/>
      <x:c r="K20"/>
    </x:row>
    <x:row r="21">
      <x:c r="A21"/>
      <x:c r="B21"/>
      <x:c r="C21"/>
      <x:c r="D21"/>
      <x:c r="E21"/>
      <x:c r="F21"/>
      <x:c r="G21"/>
      <x:c r="H21"/>
      <x:c r="I21"/>
      <x:c r="J21"/>
      <x:c r="K21"/>
    </x:row>
    <x:row r="22">
      <x:c r="A22"/>
      <x:c r="B22"/>
      <x:c r="C22"/>
      <x:c r="D22"/>
      <x:c r="E22"/>
      <x:c r="F22"/>
      <x:c r="G22"/>
      <x:c r="H22"/>
      <x:c r="I22"/>
      <x:c r="J22"/>
      <x:c r="K22"/>
    </x:row>
    <x:row r="23">
      <x:c r="A23"/>
      <x:c r="B23"/>
      <x:c r="C23"/>
      <x:c r="D23"/>
      <x:c r="E23"/>
      <x:c r="F23"/>
      <x:c r="G23"/>
      <x:c r="H23"/>
      <x:c r="I23"/>
      <x:c r="J23"/>
      <x:c r="K23"/>
    </x:row>
    <x:row r="24">
      <x:c r="A24"/>
      <x:c r="B24"/>
      <x:c r="C24"/>
      <x:c r="D24"/>
      <x:c r="E24"/>
      <x:c r="F24"/>
      <x:c r="G24"/>
      <x:c r="H24"/>
      <x:c r="I24"/>
      <x:c r="J24"/>
      <x:c r="K24"/>
    </x:row>
  </x:sheetData>
  <x:mergeCells>
    <x:mergeCell ref="A1:K1"/>
    <x:mergeCell ref="A2:K2"/>
  </x:mergeCells>
  <x:dataValidations count="1">
    <x:dataValidation type="list" sqref="G4:G24">
      <x:formula1>"Not started,In progress,Awaiting approval,Complete,Retired"</x:formula1>
    </x:dataValidation>
  </x:dataValidations>
  <x:pageMargins left="0.7" right="0.7" top="0.75" bottom="0.75" header="0.3" footer="0.3"/>
  <x:tableParts count="1">
    <x:tablePart xmlns:r="http://schemas.openxmlformats.org/officeDocument/2006/relationships" r:id="Re6af6270f7174e73"/>
  </x:tableParts>
</x:worksheet>
</file>

<file path=xl/worksheets/sheet2.xml><?xml version="1.0" encoding="utf-8"?>
<x:worksheet xmlns:x="http://schemas.openxmlformats.org/spreadsheetml/2006/main">
  <x:sheetViews>
    <x:sheetView showGridLines="0" workbookViewId="0"/>
  </x:sheetViews>
  <x:sheetFormatPr defaultRowHeight="15"/>
  <x:cols>
    <x:col min="1" max="1" width="107.62999725341797" hidden="0" customWidth="1"/>
    <x:col min="2" max="2" width="42" hidden="0" customWidth="1"/>
    <x:col min="3" max="3" width="43.5" hidden="0" customWidth="1"/>
    <x:col min="4" max="4" width="23.25" hidden="0" customWidth="1"/>
    <x:col min="5" max="5" width="24" hidden="0" customWidth="1"/>
    <x:col min="6" max="6" width="16.8799991607666" hidden="0" customWidth="1"/>
    <x:col min="7" max="7" width="17.8799991607666" hidden="0" customWidth="1"/>
    <x:col min="8" max="8" width="32.5" hidden="0" customWidth="1"/>
    <x:col min="9" max="9" width="34" hidden="0" customWidth="1"/>
    <x:col min="10" max="10" width="9.5" hidden="0" customWidth="1"/>
  </x:cols>
  <x:sheetData>
    <x:row r="1" ht="26" customHeight="1">
      <x:c r="A1" s="53" t="str">
        <x:v>Literature</x:v>
      </x:c>
      <x:c r="B1" s="54"/>
      <x:c r="C1" s="54"/>
      <x:c r="D1" s="54"/>
      <x:c r="E1" s="54"/>
      <x:c r="F1" s="54"/>
      <x:c r="G1" s="54"/>
      <x:c r="H1" s="54"/>
      <x:c r="I1" s="54"/>
      <x:c r="J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7"/>
      <x:c r="J2" s="58"/>
    </x:row>
    <x:row r="3" ht="15" hidden="0" customHeight="1">
      <x:c r="A3" s="62" t="str">
        <x:v>Literature ID</x:v>
      </x:c>
      <x:c r="B3" s="63" t="str">
        <x:v>Citation</x:v>
      </x:c>
      <x:c r="C3" s="63" t="str">
        <x:v>Source URL</x:v>
      </x:c>
      <x:c r="D3" s="63" t="str">
        <x:v>Access / traceability status</x:v>
      </x:c>
      <x:c r="E3" s="63" t="str">
        <x:v>Inclusion decision</x:v>
      </x:c>
      <x:c r="F3" s="63" t="str">
        <x:v>Review status</x:v>
      </x:c>
      <x:c r="G3" s="63" t="str">
        <x:v>Application context</x:v>
      </x:c>
      <x:c r="H3" s="63" t="str">
        <x:v>Scheduling problem / notation</x:v>
      </x:c>
      <x:c r="I3" s="63" t="str">
        <x:v>Notes / taxonomy extension detail</x:v>
      </x:c>
      <x:c r="J3" s="64" t="str">
        <x:v>ID check</x:v>
      </x:c>
    </x:row>
    <x:row r="4" ht="66" hidden="0" customHeight="1">
      <x:c r="A4" s="27" t="str">
        <x:v>L001</x:v>
      </x:c>
      <x:c r="B4" s="27" t="str">
        <x:v>Rensheng Chen; Bin Wu; Hua Wang; Huagang Tong; Feiyi Yan (2024). A Q-Learning based NSGA-II for dynamic flexible job shop scheduling with limited transportation resources. Swarm and Evolutionary Computation, 90, 101658.</x:v>
      </x:c>
      <x:c r="C4" s="27" t="str">
        <x:v>https://doi.org/10.1016/j.swevo.2024.101658</x:v>
      </x:c>
      <x:c r="D4" s="27" t="str">
        <x:v>Verified</x:v>
      </x:c>
      <x:c r="E4" s="27" t="str">
        <x:v>Included — original study</x:v>
      </x:c>
      <x:c r="F4" s="27" t="str">
        <x:v>First-pass complete</x:v>
      </x:c>
      <x:c r="G4" s="27" t="str">
        <x:v>workshop</x:v>
      </x:c>
      <x:c r="H4" s="27" t="str">
        <x:v>生产车间；动/确</x:v>
      </x:c>
      <x:c r="I4" s="27" t="str">
        <x:v>B001；核心研究对象；原文题名页；Elsevier/DOI 页面</x:v>
      </x:c>
      <x:c r="J4" s="27" t="str">
        <x:v>OK</x:v>
      </x:c>
    </x:row>
    <x:row r="5" ht="39.599998474121094" hidden="0" customHeight="1">
      <x:c r="A5" s="27" t="str">
        <x:v>L002</x:v>
      </x:c>
      <x:c r="B5" s="27" t="str">
        <x:v>廖雪超；向桂宏；阮兵；田芮利；钟实 (2025). 带AGV数量约束的柔性作业车间调度问题研究. 现代制造工程(6):11–21.</x:v>
      </x:c>
      <x:c r="C5" s="27" t="str">
        <x:v>https://doi.org/10.16731/j.cnki.1671-3133.2025.06.002</x:v>
      </x:c>
      <x:c r="D5" s="27" t="str">
        <x:v>Verified</x:v>
      </x:c>
      <x:c r="E5" s="27" t="str">
        <x:v>Included — original study</x:v>
      </x:c>
      <x:c r="F5" s="27" t="str">
        <x:v>First-pass complete</x:v>
      </x:c>
      <x:c r="G5" s="27" t="str">
        <x:v>workshop</x:v>
      </x:c>
      <x:c r="H5" s="27" t="str">
        <x:v>生产车间；静/确</x:v>
      </x:c>
      <x:c r="I5" s="27" t="str">
        <x:v>B002；核心车间原始研究；原文题名页与 DOI；正式期刊引文</x:v>
      </x:c>
      <x:c r="J5" s="27" t="str">
        <x:v>OK</x:v>
      </x:c>
    </x:row>
    <x:row r="6" ht="39.599998474121094" hidden="0" customHeight="1">
      <x:c r="A6" s="27" t="str">
        <x:v>L003</x:v>
      </x:c>
      <x:c r="B6" s="27" t="str">
        <x:v>李晓萌；杨煜普；许晓鸣 (2002). 基于递阶强化学习的多智能体AGV调度系统. 控制与决策17(3):292–296.</x:v>
      </x:c>
      <x:c r="C6" s="27"/>
      <x:c r="D6" s="27" t="str">
        <x:v>Original-source verified</x:v>
      </x:c>
      <x:c r="E6" s="27" t="str">
        <x:v>Included — original study</x:v>
      </x:c>
      <x:c r="F6" s="27" t="str">
        <x:v>First-pass complete</x:v>
      </x:c>
      <x:c r="G6" s="27" t="str">
        <x:v>transport</x:v>
      </x:c>
      <x:c r="H6" s="27" t="str">
        <x:v>通用运输（具体行业未报告）；动/未报</x:v>
      </x:c>
      <x:c r="I6" s="27" t="str">
        <x:v>B003；路径/任务相邻研究；原文题名页；后续论文参考文献可定位</x:v>
      </x:c>
      <x:c r="J6" s="27" t="str">
        <x:v>OK</x:v>
      </x:c>
    </x:row>
    <x:row r="7" ht="39.599998474121094" hidden="0" customHeight="1">
      <x:c r="A7" s="27" t="str">
        <x:v>L004</x:v>
      </x:c>
      <x:c r="B7" s="27" t="str">
        <x:v>侯亚群；王玉亭；韩玉艳；罗涛；陈庆达 (2026). 基于异构图注意力的柔性作业车间与AGV集成调度优化方法. 控制理论与应用网络首发.</x:v>
      </x:c>
      <x:c r="C7" s="27" t="str">
        <x:v>https://doi.org/10.7641/CTA.2026.60211</x:v>
      </x:c>
      <x:c r="D7" s="27" t="str">
        <x:v>Verified</x:v>
      </x:c>
      <x:c r="E7" s="27" t="str">
        <x:v>Included — original study</x:v>
      </x:c>
      <x:c r="F7" s="27" t="str">
        <x:v>First-pass complete</x:v>
      </x:c>
      <x:c r="G7" s="27" t="str">
        <x:v>workshop</x:v>
      </x:c>
      <x:c r="H7" s="27" t="str">
        <x:v>生产车间；静/确</x:v>
      </x:c>
      <x:c r="I7" s="27" t="str">
        <x:v>B004；核心车间原始研究；原文网络首发页及正式引文</x:v>
      </x:c>
      <x:c r="J7" s="27" t="str">
        <x:v>OK</x:v>
      </x:c>
    </x:row>
    <x:row r="8" ht="52.79999923706055" hidden="0" customHeight="1">
      <x:c r="A8" s="27" t="str">
        <x:v>L005</x:v>
      </x:c>
      <x:c r="B8" s="27" t="str">
        <x:v>李西兴；刘晨明；王际鹏；汪俊亮；杨妍；李立军 (2026). 基于Q-learning改进果蝇算法的针织车间AGV资源配置优化. 中国机械工程网络首发.</x:v>
      </x:c>
      <x:c r="C8" s="27" t="str">
        <x:v>https://link.cnki.net/urlid/42.1294.th.20260320.1734.016</x:v>
      </x:c>
      <x:c r="D8" s="27" t="str">
        <x:v>Original-source verified</x:v>
      </x:c>
      <x:c r="E8" s="27" t="str">
        <x:v>Included — original study</x:v>
      </x:c>
      <x:c r="F8" s="27" t="str">
        <x:v>First-pass complete</x:v>
      </x:c>
      <x:c r="G8" s="27" t="str">
        <x:v>workshop</x:v>
      </x:c>
      <x:c r="H8" s="27" t="str">
        <x:v>生产车间（针织）；静/确</x:v>
      </x:c>
      <x:c r="I8" s="27" t="str">
        <x:v>B005；核心车间原始研究；原文网络首发页；卷期页码未定</x:v>
      </x:c>
      <x:c r="J8" s="27" t="str">
        <x:v>OK</x:v>
      </x:c>
    </x:row>
    <x:row r="9" ht="52.79999923706055" hidden="0" customHeight="1">
      <x:c r="A9" s="27" t="str">
        <x:v>L006</x:v>
      </x:c>
      <x:c r="B9" s="27" t="str">
        <x:v>孙孝飞；郭捷；魏灿名；金翔；赵飞；王磊；梅雪松 (2025). 3C智能制造工厂的AGV智慧物料传输与调度综述. 中南大学学报（自然科学版）56(2):514–535.</x:v>
      </x:c>
      <x:c r="C9" s="27" t="str">
        <x:v>https://doi.org/10.11817/j.issn.1672-7207.2025.02.010</x:v>
      </x:c>
      <x:c r="D9" s="27" t="str">
        <x:v>Verified</x:v>
      </x:c>
      <x:c r="E9" s="27" t="str">
        <x:v>Included — review/background</x:v>
      </x:c>
      <x:c r="F9" s="27" t="str">
        <x:v>First-pass complete</x:v>
      </x:c>
      <x:c r="G9" s="27" t="str">
        <x:v>other</x:v>
      </x:c>
      <x:c r="H9" s="27" t="str">
        <x:v>跨场景（综述，以3C车间为主）；跨/跨</x:v>
      </x:c>
      <x:c r="I9" s="27" t="str">
        <x:v>B006；综述；原文正式引文；期刊官网</x:v>
      </x:c>
      <x:c r="J9" s="27" t="str">
        <x:v>OK</x:v>
      </x:c>
    </x:row>
    <x:row r="10" ht="39.599998474121094" hidden="0" customHeight="1">
      <x:c r="A10" s="27" t="str">
        <x:v>L007</x:v>
      </x:c>
      <x:c r="B10" s="27" t="str">
        <x:v>李昆鹏；刘腾博；阮炎秋 (2022). 半导体生产车间智能AGV路径规划与调度. 计算机集成制造系统28(9):2970–2980.</x:v>
      </x:c>
      <x:c r="C10" s="27" t="str">
        <x:v>https://doi.org/10.13196/j.cims.2022.09.026</x:v>
      </x:c>
      <x:c r="D10" s="27" t="str">
        <x:v>Verified</x:v>
      </x:c>
      <x:c r="E10" s="27" t="str">
        <x:v>Included — original study</x:v>
      </x:c>
      <x:c r="F10" s="27" t="str">
        <x:v>First-pass complete</x:v>
      </x:c>
      <x:c r="G10" s="27" t="str">
        <x:v>workshop</x:v>
      </x:c>
      <x:c r="H10" s="27" t="str">
        <x:v>生产车间（半导体）；静/确</x:v>
      </x:c>
      <x:c r="I10" s="27" t="str">
        <x:v>B007；路径/任务相邻研究；原文题名页；DOI/CNKI 记录</x:v>
      </x:c>
      <x:c r="J10" s="27" t="str">
        <x:v>OK</x:v>
      </x:c>
    </x:row>
    <x:row r="11" ht="39.599998474121094" hidden="0" customHeight="1">
      <x:c r="A11" s="27" t="str">
        <x:v>L008</x:v>
      </x:c>
      <x:c r="B11" s="27" t="str">
        <x:v>颜伟；黄冠鹏；高玉萍；刘阳 (2025). 仓库多AGV路径冲突问题研究综述. 科学技术与工程25(18):7465–7474.</x:v>
      </x:c>
      <x:c r="C11" s="27" t="str">
        <x:v>https://doi.org/10.12404/j.issn.1671-1815.2404411</x:v>
      </x:c>
      <x:c r="D11" s="27" t="str">
        <x:v>Original-source verified</x:v>
      </x:c>
      <x:c r="E11" s="27" t="str">
        <x:v>Included — review/background</x:v>
      </x:c>
      <x:c r="F11" s="27" t="str">
        <x:v>First-pass complete</x:v>
      </x:c>
      <x:c r="G11" s="27" t="str">
        <x:v>warehouse</x:v>
      </x:c>
      <x:c r="H11" s="27" t="str">
        <x:v>仓储；跨/跨</x:v>
      </x:c>
      <x:c r="I11" s="27" t="str">
        <x:v>B008；综述；原文正式引文与 DOI</x:v>
      </x:c>
      <x:c r="J11" s="27" t="str">
        <x:v>OK</x:v>
      </x:c>
    </x:row>
    <x:row r="12" ht="39.599998474121094" hidden="0" customHeight="1">
      <x:c r="A12" s="27" t="str">
        <x:v>L009</x:v>
      </x:c>
      <x:c r="B12" s="27" t="str">
        <x:v>张中伟；高增恩；王菁锐；李艺；武照云 (2024). 分布式AGV调度研究综述与发展趋势分析. 制造技术与机床(11).</x:v>
      </x:c>
      <x:c r="C12" s="27" t="str">
        <x:v>https://doi.org/10.19287/j.mtmt.1005-2402.2024.11.008</x:v>
      </x:c>
      <x:c r="D12" s="27" t="str">
        <x:v>Original-source verified</x:v>
      </x:c>
      <x:c r="E12" s="27" t="str">
        <x:v>Included — review/background</x:v>
      </x:c>
      <x:c r="F12" s="27" t="str">
        <x:v>First-pass complete</x:v>
      </x:c>
      <x:c r="G12" s="27" t="str">
        <x:v>other</x:v>
      </x:c>
      <x:c r="H12" s="27" t="str">
        <x:v>跨场景（综述）；跨/跨</x:v>
      </x:c>
      <x:c r="I12" s="27" t="str">
        <x:v>B009；综述；原文题名页与 DOI</x:v>
      </x:c>
      <x:c r="J12" s="27" t="str">
        <x:v>OK</x:v>
      </x:c>
    </x:row>
    <x:row r="13" ht="52.79999923706055" hidden="0" customHeight="1">
      <x:c r="A13" s="27" t="str">
        <x:v>L010</x:v>
      </x:c>
      <x:c r="B13" s="27" t="str">
        <x:v>孟繁威；郭宏；延小龙；武玉鑫；张德华；罗雷 (2026). 基于多智能体强化学习求解柔性作业车间联合调度问题. 计算机集成制造系统32(3):813–830.</x:v>
      </x:c>
      <x:c r="C13" s="27" t="str">
        <x:v>https://doi.org/10.13196/j.cims.2024.0236</x:v>
      </x:c>
      <x:c r="D13" s="27" t="str">
        <x:v>Verified</x:v>
      </x:c>
      <x:c r="E13" s="27" t="str">
        <x:v>Included — original study</x:v>
      </x:c>
      <x:c r="F13" s="27" t="str">
        <x:v>First-pass complete</x:v>
      </x:c>
      <x:c r="G13" s="27" t="str">
        <x:v>workshop</x:v>
      </x:c>
      <x:c r="H13" s="27" t="str">
        <x:v>生产车间；静/确</x:v>
      </x:c>
      <x:c r="I13" s="27" t="str">
        <x:v>B010；核心车间原始研究；原文题名页与 DOI；正式期刊引文</x:v>
      </x:c>
      <x:c r="J13" s="27" t="str">
        <x:v>OK</x:v>
      </x:c>
    </x:row>
    <x:row r="14" ht="39.599998474121094" hidden="0" customHeight="1">
      <x:c r="A14" s="27" t="str">
        <x:v>L011</x:v>
      </x:c>
      <x:c r="B14" s="27" t="str">
        <x:v>刘二辉；姚锡凡；陶韬；金鸿 (2019). 基于改进花授粉算法的共融AGV作业车间调度. 计算机集成制造系统25(9):2219–2236.</x:v>
      </x:c>
      <x:c r="C14" s="27" t="str">
        <x:v>https://doi.org/10.13196/j.cims.2019.09.010</x:v>
      </x:c>
      <x:c r="D14" s="27" t="str">
        <x:v>Original-source verified</x:v>
      </x:c>
      <x:c r="E14" s="27" t="str">
        <x:v>Included — original study</x:v>
      </x:c>
      <x:c r="F14" s="27" t="str">
        <x:v>First-pass complete</x:v>
      </x:c>
      <x:c r="G14" s="27" t="str">
        <x:v>workshop</x:v>
      </x:c>
      <x:c r="H14" s="27" t="str">
        <x:v>生产车间；静/确</x:v>
      </x:c>
      <x:c r="I14" s="27" t="str">
        <x:v>B011；核心车间原始研究；原文题名页与 DOI</x:v>
      </x:c>
      <x:c r="J14" s="27" t="str">
        <x:v>OK</x:v>
      </x:c>
    </x:row>
    <x:row r="15" ht="39.599998474121094" hidden="0" customHeight="1">
      <x:c r="A15" s="27" t="str">
        <x:v>L012</x:v>
      </x:c>
      <x:c r="B15" s="27" t="str">
        <x:v>祁璇；周通；王村松；彭孝天；彭浩 (2025). 基于改进近端策略优化算法的AGV路径规划与任务调度. 计算机集成制造系统31(3):955–964.</x:v>
      </x:c>
      <x:c r="C15" s="27" t="str">
        <x:v>https://doi.org/10.13196/j.cims.2023.0552</x:v>
      </x:c>
      <x:c r="D15" s="27" t="str">
        <x:v>Verified</x:v>
      </x:c>
      <x:c r="E15" s="27" t="str">
        <x:v>Included — original study</x:v>
      </x:c>
      <x:c r="F15" s="27" t="str">
        <x:v>First-pass complete</x:v>
      </x:c>
      <x:c r="G15" s="27" t="str">
        <x:v>transport</x:v>
      </x:c>
      <x:c r="H15" s="27" t="str">
        <x:v>通用运输（具体行业未报告）；静/确</x:v>
      </x:c>
      <x:c r="I15" s="27" t="str">
        <x:v>B012；路径/任务相邻研究；原文题名页与 DOI；正式期刊引文</x:v>
      </x:c>
      <x:c r="J15" s="27" t="str">
        <x:v>OK</x:v>
      </x:c>
    </x:row>
    <x:row r="16" ht="39.599998474121094" hidden="0" customHeight="1">
      <x:c r="A16" s="27" t="str">
        <x:v>L013</x:v>
      </x:c>
      <x:c r="B16" s="27" t="str">
        <x:v>肖世昌；林轩；郑鹏；王金凤 (2026). 基于近端策略优化算法的自动化集装箱码头自动导引车防冲突路径规划. 中国机械工程网络首发.</x:v>
      </x:c>
      <x:c r="C16" s="27" t="str">
        <x:v>https://link.cnki.net/urlid/42.1294.th.20260126.1628.008</x:v>
      </x:c>
      <x:c r="D16" s="27" t="str">
        <x:v>Original-source verified</x:v>
      </x:c>
      <x:c r="E16" s="27" t="str">
        <x:v>Included — original study</x:v>
      </x:c>
      <x:c r="F16" s="27" t="str">
        <x:v>First-pass complete</x:v>
      </x:c>
      <x:c r="G16" s="27" t="str">
        <x:v>terminal</x:v>
      </x:c>
      <x:c r="H16" s="27" t="str">
        <x:v>自动化码头；静/确</x:v>
      </x:c>
      <x:c r="I16" s="27" t="str">
        <x:v>B013；路径/任务相邻研究；原文网络首发页；卷期页码未定</x:v>
      </x:c>
      <x:c r="J16" s="27" t="str">
        <x:v>OK</x:v>
      </x:c>
    </x:row>
    <x:row r="17" ht="39.599998474121094" hidden="0" customHeight="1">
      <x:c r="A17" s="27" t="str">
        <x:v>L014</x:v>
      </x:c>
      <x:c r="B17" s="27" t="str">
        <x:v>王贺；许佳宁；闫广宇 (2025). 基于深度强化学习的AGV行人避让策略研究. 系统仿真学报37(3):595–606.</x:v>
      </x:c>
      <x:c r="C17" s="27" t="str">
        <x:v>https://doi.org/10.16182/j.issn1004731x.joss.24-0088</x:v>
      </x:c>
      <x:c r="D17" s="27" t="str">
        <x:v>Original-source verified</x:v>
      </x:c>
      <x:c r="E17" s="27" t="str">
        <x:v>Included — original study</x:v>
      </x:c>
      <x:c r="F17" s="27" t="str">
        <x:v>First-pass complete</x:v>
      </x:c>
      <x:c r="G17" s="27" t="str">
        <x:v>other</x:v>
      </x:c>
      <x:c r="H17" s="27" t="str">
        <x:v>人机共融（智能工厂）；动/不清楚</x:v>
      </x:c>
      <x:c r="I17" s="27" t="str">
        <x:v>B014；路径/任务相邻研究；原文正式引文与 DOI</x:v>
      </x:c>
      <x:c r="J17" s="27" t="str">
        <x:v>OK</x:v>
      </x:c>
    </x:row>
    <x:row r="18" ht="39.599998474121094" hidden="0" customHeight="1">
      <x:c r="A18" s="27" t="str">
        <x:v>L015</x:v>
      </x:c>
      <x:c r="B18" s="27" t="str">
        <x:v>周亚勤；肖蒙；吕志军；汪俊亮；张洁 (2024). 基于DQN算法的考虑AGV小车搬运的离散制造车间调度方法. 机械工程学报60(18):338–349.</x:v>
      </x:c>
      <x:c r="C18" s="27" t="str">
        <x:v>https://doi.org/10.3901/JME.2024.18.338</x:v>
      </x:c>
      <x:c r="D18" s="27" t="str">
        <x:v>Original-source verified</x:v>
      </x:c>
      <x:c r="E18" s="27" t="str">
        <x:v>Included — original study</x:v>
      </x:c>
      <x:c r="F18" s="27" t="str">
        <x:v>First-pass complete</x:v>
      </x:c>
      <x:c r="G18" s="27" t="str">
        <x:v>workshop</x:v>
      </x:c>
      <x:c r="H18" s="27" t="str">
        <x:v>生产车间（离散制造）；静/确</x:v>
      </x:c>
      <x:c r="I18" s="27" t="str">
        <x:v>B015；核心车间原始研究；原文题名页与 DOI</x:v>
      </x:c>
      <x:c r="J18" s="27" t="str">
        <x:v>OK</x:v>
      </x:c>
    </x:row>
    <x:row r="19" ht="52.79999923706055" hidden="0" customHeight="1">
      <x:c r="A19" s="27" t="str">
        <x:v>L016</x:v>
      </x:c>
      <x:c r="B19" s="27" t="str">
        <x:v>周亚勤；李振浩；项前 (2025). 考虑工时不确定的动态柔性作业车间机器与AGV联合调度方法. 东华大学学报（自然科学版）51(6):38–46.</x:v>
      </x:c>
      <x:c r="C19" s="27" t="str">
        <x:v>https://doi.org/10.19886/j.cnki.dhdz.2025.0100</x:v>
      </x:c>
      <x:c r="D19" s="27" t="str">
        <x:v>Verified</x:v>
      </x:c>
      <x:c r="E19" s="27" t="str">
        <x:v>Included — original study</x:v>
      </x:c>
      <x:c r="F19" s="27" t="str">
        <x:v>First-pass complete</x:v>
      </x:c>
      <x:c r="G19" s="27" t="str">
        <x:v>workshop</x:v>
      </x:c>
      <x:c r="H19" s="27" t="str">
        <x:v>生产车间；动/随</x:v>
      </x:c>
      <x:c r="I19" s="27" t="str">
        <x:v>B016；核心车间原始研究；原文题名、作者、文章号与 DOI；期刊 PDF 页面/书目记录确认完整题名含 AGV</x:v>
      </x:c>
      <x:c r="J19" s="27" t="str">
        <x:v>OK</x:v>
      </x:c>
    </x:row>
    <x:row r="20" ht="39.599998474121094" hidden="0" customHeight="1">
      <x:c r="A20" s="27" t="str">
        <x:v>L017</x:v>
      </x:c>
      <x:c r="B20" s="27" t="str">
        <x:v>张毅；王玉芳；葛师语；郑明波；张艺 (2026). 绿色作业车间与变速充电AGV协同调度研究. 计算机系统应用35(8):270–283.</x:v>
      </x:c>
      <x:c r="C20" s="27" t="str">
        <x:v>https://doi.org/10.15888/j.cnki.csa.010240</x:v>
      </x:c>
      <x:c r="D20" s="27" t="str">
        <x:v>Verified</x:v>
      </x:c>
      <x:c r="E20" s="27" t="str">
        <x:v>Included — original study</x:v>
      </x:c>
      <x:c r="F20" s="27" t="str">
        <x:v>First-pass complete</x:v>
      </x:c>
      <x:c r="G20" s="27" t="str">
        <x:v>workshop</x:v>
      </x:c>
      <x:c r="H20" s="27" t="str">
        <x:v>生产车间（绿色车间）；静/确</x:v>
      </x:c>
      <x:c r="I20" s="27" t="str">
        <x:v>B017；核心车间原始研究；原文题名页；期刊官网当期目录与 DOI</x:v>
      </x:c>
      <x:c r="J20" s="27" t="str">
        <x:v>OK</x:v>
      </x:c>
    </x:row>
    <x:row r="21" ht="39.599998474121094" hidden="0" customHeight="1">
      <x:c r="A21" s="27" t="str">
        <x:v>L018</x:v>
      </x:c>
      <x:c r="B21" s="27" t="str">
        <x:v>杨智飞；苏春；胡祥涛；陈帝江 (2019). 面向智能生产车间的多AGV系统多目标调度优化. 东南大学学报（自然科学版）49(6):1033–1040.</x:v>
      </x:c>
      <x:c r="C21" s="27" t="str">
        <x:v>https://doi.org/10.3969/j.issn.1001-0505.2019.06.003</x:v>
      </x:c>
      <x:c r="D21" s="27" t="str">
        <x:v>Verified</x:v>
      </x:c>
      <x:c r="E21" s="27" t="str">
        <x:v>Included — original study</x:v>
      </x:c>
      <x:c r="F21" s="27" t="str">
        <x:v>First-pass complete</x:v>
      </x:c>
      <x:c r="G21" s="27" t="str">
        <x:v>workshop</x:v>
      </x:c>
      <x:c r="H21" s="27" t="str">
        <x:v>生产车间；静/确</x:v>
      </x:c>
      <x:c r="I21" s="27" t="str">
        <x:v>B018；核心车间原始研究；原文题名页、文章号与 DOI；正式引文交叉核对</x:v>
      </x:c>
      <x:c r="J21" s="27" t="str">
        <x:v>OK</x:v>
      </x:c>
    </x:row>
    <x:row r="22" ht="39.599998474121094" hidden="0" customHeight="1">
      <x:c r="A22" s="27" t="str">
        <x:v>L019</x:v>
      </x:c>
      <x:c r="B22" s="27" t="str">
        <x:v>林国义；黄千禧；谢帅等 (2026). 面向智能制造的AGV与柔性作业车间协同调度模型与算法. 控制与决策41(4):1166–1175.</x:v>
      </x:c>
      <x:c r="C22" s="27" t="str">
        <x:v>https://doi.org/10.13195/j.kzyjc.2025.0808</x:v>
      </x:c>
      <x:c r="D22" s="27" t="str">
        <x:v>Original-source verified</x:v>
      </x:c>
      <x:c r="E22" s="27" t="str">
        <x:v>Included — original study</x:v>
      </x:c>
      <x:c r="F22" s="27" t="str">
        <x:v>First-pass complete</x:v>
      </x:c>
      <x:c r="G22" s="27" t="str">
        <x:v>workshop</x:v>
      </x:c>
      <x:c r="H22" s="27" t="str">
        <x:v>生产车间；静/确</x:v>
      </x:c>
      <x:c r="I22" s="27" t="str">
        <x:v>B019；核心车间原始研究；原文正式引文与 DOI</x:v>
      </x:c>
      <x:c r="J22" s="27" t="str">
        <x:v>OK</x:v>
      </x:c>
    </x:row>
    <x:row r="23" ht="39.599998474121094" hidden="0" customHeight="1">
      <x:c r="A23" s="27" t="str">
        <x:v>L020</x:v>
      </x:c>
      <x:c r="B23" s="27" t="str">
        <x:v>许波桅；李非凡；李军军 (2026). 势博弈深度强化学习驱动的AGV群能量均衡研究. 控制与决策网络首发.</x:v>
      </x:c>
      <x:c r="C23" s="27" t="str">
        <x:v>https://doi.org/10.13195/j.kzyjc.2025.1187</x:v>
      </x:c>
      <x:c r="D23" s="27" t="str">
        <x:v>Original-source verified</x:v>
      </x:c>
      <x:c r="E23" s="27" t="str">
        <x:v>Included — original study</x:v>
      </x:c>
      <x:c r="F23" s="27" t="str">
        <x:v>First-pass complete</x:v>
      </x:c>
      <x:c r="G23" s="27" t="str">
        <x:v>terminal</x:v>
      </x:c>
      <x:c r="H23" s="27" t="str">
        <x:v>自动化码头；动/确</x:v>
      </x:c>
      <x:c r="I23" s="27" t="str">
        <x:v>B020；路径/任务相邻研究；原文网络首发页与 DOI；卷期页码未定</x:v>
      </x:c>
      <x:c r="J23" s="27" t="str">
        <x:v>OK</x:v>
      </x:c>
    </x:row>
    <x:row r="24" ht="52.79999923706055" hidden="0" customHeight="1">
      <x:c r="A24" s="27" t="str">
        <x:v>L021</x:v>
      </x:c>
      <x:c r="B24" s="27" t="str">
        <x:v>李明万；李建勋；张若晨；尚晏莹 (2026). 数字孪生驱动的物流仓储无人仓多AGV全局路径规划研究. 计算机集成制造系统网络首发.</x:v>
      </x:c>
      <x:c r="C24" s="27" t="str">
        <x:v>https://doi.org/10.13196/j.cims.2024.Z32</x:v>
      </x:c>
      <x:c r="D24" s="27" t="str">
        <x:v>Original-source verified</x:v>
      </x:c>
      <x:c r="E24" s="27" t="str">
        <x:v>Included — original study</x:v>
      </x:c>
      <x:c r="F24" s="27" t="str">
        <x:v>First-pass complete</x:v>
      </x:c>
      <x:c r="G24" s="27" t="str">
        <x:v>warehouse</x:v>
      </x:c>
      <x:c r="H24" s="27" t="str">
        <x:v>仓储（无人仓）；动/未报</x:v>
      </x:c>
      <x:c r="I24" s="27" t="str">
        <x:v>B021；路径/任务相邻研究；原文题名页、全体作者与 DOI；外部记录显示 2026-03-19 网络首发，正式卷期页码尚未形成</x:v>
      </x:c>
      <x:c r="J24" s="27" t="str">
        <x:v>OK</x:v>
      </x:c>
    </x:row>
    <x:row r="25" ht="39.599998474121094" hidden="0" customHeight="1">
      <x:c r="A25" s="27" t="str">
        <x:v>L022</x:v>
      </x:c>
      <x:c r="B25" s="27" t="str">
        <x:v>柳赛男等 (2007). 一种解决有AGV小车约束的车间智能调度问题的算法. 中国机械工程18(15):1810–1813.</x:v>
      </x:c>
      <x:c r="C25" s="27"/>
      <x:c r="D25" s="27" t="str">
        <x:v>Original-source verified</x:v>
      </x:c>
      <x:c r="E25" s="27" t="str">
        <x:v>Included — original study</x:v>
      </x:c>
      <x:c r="F25" s="27" t="str">
        <x:v>First-pass complete</x:v>
      </x:c>
      <x:c r="G25" s="27" t="str">
        <x:v>workshop</x:v>
      </x:c>
      <x:c r="H25" s="27" t="str">
        <x:v>生产车间；静/确</x:v>
      </x:c>
      <x:c r="I25" s="27" t="str">
        <x:v>B022；核心车间原始研究；原文题名页与文章号 1004-132X(2007)15-1810-04</x:v>
      </x:c>
      <x:c r="J25" s="27" t="str">
        <x:v>OK</x:v>
      </x:c>
    </x:row>
    <x:row r="26" ht="39.599998474121094" hidden="0" customHeight="1">
      <x:c r="A26" s="27" t="str">
        <x:v>L023</x:v>
      </x:c>
      <x:c r="B26" s="27" t="str">
        <x:v>司明；邬伯藩；胡灿；邢伟强 (2024). 智能仓储交通信号与多AGV路径规划协同控制方法. 计算机工程与应用60(11):290–297.</x:v>
      </x:c>
      <x:c r="C26" s="27" t="str">
        <x:v>https://doi.org/10.3778/j.issn.1002-8331.2310-0113</x:v>
      </x:c>
      <x:c r="D26" s="27" t="str">
        <x:v>Verified</x:v>
      </x:c>
      <x:c r="E26" s="27" t="str">
        <x:v>Included — original study</x:v>
      </x:c>
      <x:c r="F26" s="27" t="str">
        <x:v>First-pass complete</x:v>
      </x:c>
      <x:c r="G26" s="27" t="str">
        <x:v>warehouse</x:v>
      </x:c>
      <x:c r="H26" s="27" t="str">
        <x:v>仓储；动/未报</x:v>
      </x:c>
      <x:c r="I26" s="27" t="str">
        <x:v>B023；路径/任务相邻研究；原文题名页与 DOI；正式期刊引文</x:v>
      </x:c>
      <x:c r="J26" s="27" t="str">
        <x:v>OK</x:v>
      </x:c>
    </x:row>
    <x:row r="27" ht="39.599998474121094" hidden="0" customHeight="1">
      <x:c r="A27" s="27" t="str">
        <x:v>L024</x:v>
      </x:c>
      <x:c r="B27" s="27" t="str">
        <x:v>李昆鹏等 (2025). 智能仓库中多AGV在线任务指派与全局路径规划问题研究. 中国管理科学33(3):264–276.</x:v>
      </x:c>
      <x:c r="C27" s="27" t="str">
        <x:v>https://doi.org/10.16381/j.cnki.issn1003-207x.2023.0429</x:v>
      </x:c>
      <x:c r="D27" s="27" t="str">
        <x:v>Original-source verified</x:v>
      </x:c>
      <x:c r="E27" s="27" t="str">
        <x:v>Included — original study</x:v>
      </x:c>
      <x:c r="F27" s="27" t="str">
        <x:v>First-pass complete</x:v>
      </x:c>
      <x:c r="G27" s="27" t="str">
        <x:v>warehouse</x:v>
      </x:c>
      <x:c r="H27" s="27" t="str">
        <x:v>仓储；动/未报</x:v>
      </x:c>
      <x:c r="I27" s="27" t="str">
        <x:v>B024；路径/任务相邻研究；原文文章号、题名页与期刊官网</x:v>
      </x:c>
      <x:c r="J27" s="27" t="str">
        <x:v>OK</x:v>
      </x:c>
    </x:row>
    <x:row r="28" ht="66" hidden="0" customHeight="1">
      <x:c r="A28" s="27" t="str">
        <x:v>L025</x:v>
      </x:c>
      <x:c r="B28" s="27" t="str">
        <x:v>Ming-hai Yuan; Ya-dong Li; Feng-que Pei; Wen-bin Gu (2021). Dual-resource integrated scheduling method of AGV and machine in intelligent manufacturing job shop. Journal of Central South University, 28(8):2423–2435.</x:v>
      </x:c>
      <x:c r="C28" s="27" t="str">
        <x:v>https://doi.org/10.1007/s11771-021-4777-8</x:v>
      </x:c>
      <x:c r="D28" s="27" t="str">
        <x:v>Verified</x:v>
      </x:c>
      <x:c r="E28" s="27" t="str">
        <x:v>Included — original study</x:v>
      </x:c>
      <x:c r="F28" s="27" t="str">
        <x:v>First-pass complete</x:v>
      </x:c>
      <x:c r="G28" s="27" t="str">
        <x:v>workshop</x:v>
      </x:c>
      <x:c r="H28" s="27" t="str">
        <x:v>生产车间；静/确</x:v>
      </x:c>
      <x:c r="I28" s="27" t="str">
        <x:v>B025；核心车间原始研究；原文推荐引文；Springer DOI</x:v>
      </x:c>
      <x:c r="J28" s="27" t="str">
        <x:v>OK</x:v>
      </x:c>
    </x:row>
    <x:row r="29" ht="39.599998474121094" hidden="0" customHeight="1">
      <x:c r="A29" s="27" t="str">
        <x:v>L026</x:v>
      </x:c>
      <x:c r="B29" s="27" t="str">
        <x:v>田宇；周强；朱本飞 (2020). 自动化集装箱码头双循环AGV与场桥的集成调度研究. 交通运输系统工程与信息20(4):216–223.</x:v>
      </x:c>
      <x:c r="C29" s="27" t="str">
        <x:v>https://doi.org/10.16097/j.cnki.1009-6744.2020.04.031</x:v>
      </x:c>
      <x:c r="D29" s="27" t="str">
        <x:v>Original-source verified</x:v>
      </x:c>
      <x:c r="E29" s="27" t="str">
        <x:v>Included — original study</x:v>
      </x:c>
      <x:c r="F29" s="27" t="str">
        <x:v>First-pass complete</x:v>
      </x:c>
      <x:c r="G29" s="27" t="str">
        <x:v>terminal</x:v>
      </x:c>
      <x:c r="H29" s="27" t="str">
        <x:v>自动化码头；静/确</x:v>
      </x:c>
      <x:c r="I29" s="27" t="str">
        <x:v>B026；路径/任务相邻研究；原文题名页、文章号与 DOI</x:v>
      </x:c>
      <x:c r="J29" s="27" t="str">
        <x:v>OK</x:v>
      </x:c>
    </x:row>
    <x:row r="30" ht="39.599998474121094" hidden="0" customHeight="1">
      <x:c r="A30" s="27" t="str">
        <x:v>L027</x:v>
      </x:c>
      <x:c r="B30" s="27" t="str">
        <x:v>Fujie Ren; Haibin Liu (2024). Dynamic scheduling for flexible job shop based on MachineRank algorithm and reinforcement learning. Scientific Reports, 14:29741.</x:v>
      </x:c>
      <x:c r="C30" s="27" t="str">
        <x:v>https://doi.org/10.1038/s41598-024-79593-8</x:v>
      </x:c>
      <x:c r="D30" s="27" t="str">
        <x:v>Verified</x:v>
      </x:c>
      <x:c r="E30" s="27" t="str">
        <x:v>Included — original study</x:v>
      </x:c>
      <x:c r="F30" s="27" t="str">
        <x:v>First-pass complete</x:v>
      </x:c>
      <x:c r="G30" s="27" t="str">
        <x:v>workshop</x:v>
      </x:c>
      <x:c r="H30" s="27" t="str">
        <x:v>生产车间；动/随</x:v>
      </x:c>
      <x:c r="I30" s="27" t="str">
        <x:v>B027；核心车间原始研究；原文题名页；Nature/PMC/OpenAlex</x:v>
      </x:c>
      <x:c r="J30" s="27" t="str">
        <x:v>OK</x:v>
      </x:c>
    </x:row>
    <x:row r="31" ht="66" hidden="0" customHeight="1">
      <x:c r="A31" s="27" t="str">
        <x:v>L028</x:v>
      </x:c>
      <x:c r="B31" s="27" t="str">
        <x:v>Yingmei He; Bin Xin; Sai Lu; Qing Wang; Yulong Ding (2022). Memetic Algorithm for Dynamic Joint Flexible Job Shop Scheduling with Machines and Transportation Robots. Journal of Advanced Computational Intelligence and Intelligent Informatics, 26(6):974–982.</x:v>
      </x:c>
      <x:c r="C31" s="27" t="str">
        <x:v>https://doi.org/10.20965/jaciii.2022.p0974</x:v>
      </x:c>
      <x:c r="D31" s="27" t="str">
        <x:v>Verified</x:v>
      </x:c>
      <x:c r="E31" s="27" t="str">
        <x:v>Included — original study</x:v>
      </x:c>
      <x:c r="F31" s="27" t="str">
        <x:v>First-pass complete</x:v>
      </x:c>
      <x:c r="G31" s="27" t="str">
        <x:v>workshop</x:v>
      </x:c>
      <x:c r="H31" s="27" t="str">
        <x:v>生产车间；动/确</x:v>
      </x:c>
      <x:c r="I31" s="27" t="str">
        <x:v>B028；核心车间原始研究；原文题名页；Fuji Technology Press/J-STAGE</x:v>
      </x:c>
      <x:c r="J31" s="27" t="str">
        <x:v>OK</x:v>
      </x:c>
    </x:row>
    <x:row r="32" ht="79.19999694824219" hidden="0" customHeight="1">
      <x:c r="A32" s="27" t="str">
        <x:v>L029</x:v>
      </x:c>
      <x:c r="B32" s="27" t="str">
        <x:v>Zhongyuan Liang; Peisi Zhong; Chao Zhang; Wenlei Yang; Wei Xiong; Shihao Yang; Jing Meng (2023). A genetic algorithm-based approach for flexible job shop rescheduling problem with machine failure interference. Eksploatacja i Niezawodność – Maintenance and Reliability, 25(4).</x:v>
      </x:c>
      <x:c r="C32" s="27" t="str">
        <x:v>https://doi.org/10.17531/ein/171784</x:v>
      </x:c>
      <x:c r="D32" s="27" t="str">
        <x:v>Verified</x:v>
      </x:c>
      <x:c r="E32" s="27" t="str">
        <x:v>Included — original study</x:v>
      </x:c>
      <x:c r="F32" s="27" t="str">
        <x:v>First-pass complete</x:v>
      </x:c>
      <x:c r="G32" s="27" t="str">
        <x:v>workshop</x:v>
      </x:c>
      <x:c r="H32" s="27" t="str">
        <x:v>生产车间；动/确</x:v>
      </x:c>
      <x:c r="I32" s="27" t="str">
        <x:v>B029；动态机器相邻研究；原文题名页；期刊引文/DOI</x:v>
      </x:c>
      <x:c r="J32" s="27" t="str">
        <x:v>OK</x:v>
      </x:c>
    </x:row>
  </x:sheetData>
  <x:mergeCells>
    <x:mergeCell ref="A1:J1"/>
    <x:mergeCell ref="A2:J2"/>
  </x:mergeCells>
  <x:dataValidations count="2">
    <x:dataValidation type="list" sqref="F4:F24">
      <x:formula1>"Not started,In progress,Awaiting approval,Complete,Retired"</x:formula1>
    </x:dataValidation>
    <x:dataValidation type="list" sqref="G4:G24">
      <x:formula1>"workshop,warehouse,terminal,transport,other,not reported,unclear"</x:formula1>
    </x:dataValidation>
  </x:dataValidations>
  <x:pageMargins left="0.7" right="0.7" top="0.75" bottom="0.75" header="0.3" footer="0.3"/>
  <x:tableParts count="1">
    <x:tablePart xmlns:r="http://schemas.openxmlformats.org/officeDocument/2006/relationships" r:id="Ra3c5d9ffe08349c8"/>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07.62999725341797" hidden="0" customWidth="1"/>
    <x:col min="2" max="2" width="12.5" hidden="0" customWidth="1"/>
    <x:col min="3" max="3" width="18" hidden="0" customWidth="1"/>
    <x:col min="4" max="4" width="18" hidden="0" customWidth="1"/>
    <x:col min="5" max="5" width="2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34" hidden="0" customWidth="1"/>
    <x:col min="26" max="26" width="34" hidden="0" customWidth="1"/>
    <x:col min="27" max="27" width="34" hidden="0" customWidth="1"/>
    <x:col min="28" max="28" width="34" hidden="0" customWidth="1"/>
    <x:col min="29" max="29" width="34" hidden="0" customWidth="1"/>
    <x:col min="30" max="30" width="34" hidden="0" customWidth="1"/>
    <x:col min="31" max="31" width="24" hidden="0" customWidth="1"/>
    <x:col min="32" max="32" width="2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 min="39" max="39" width="24" hidden="0" customWidth="1"/>
    <x:col min="40" max="40" width="24" hidden="0" customWidth="1"/>
    <x:col min="41" max="41" width="24" hidden="0" customWidth="1"/>
    <x:col min="42" max="42" width="24" hidden="0" customWidth="1"/>
    <x:col min="43" max="43" width="24" hidden="0" customWidth="1"/>
    <x:col min="44" max="44" width="24" hidden="0" customWidth="1"/>
    <x:col min="45" max="45" width="24" hidden="0" customWidth="1"/>
    <x:col min="46" max="46" width="24" hidden="0" customWidth="1"/>
    <x:col min="47" max="47" width="24" hidden="0" customWidth="1"/>
    <x:col min="48" max="48" width="24" hidden="0" customWidth="1"/>
    <x:col min="49" max="49" width="24" hidden="0" customWidth="1"/>
    <x:col min="50" max="50" width="24" hidden="0" customWidth="1"/>
    <x:col min="51" max="51" width="24" hidden="0" customWidth="1"/>
    <x:col min="52" max="52" width="24" hidden="0" customWidth="1"/>
    <x:col min="53" max="53" width="24" hidden="0" customWidth="1"/>
    <x:col min="54" max="54" width="24" hidden="0" customWidth="1"/>
  </x:cols>
  <x:sheetData>
    <x:row r="1" ht="26" customHeight="1">
      <x:c r="A1" s="53" t="str">
        <x:v>Evidence</x:v>
      </x:c>
      <x:c r="B1" s="54"/>
      <x:c r="C1" s="54"/>
      <x:c r="D1" s="54"/>
      <x:c r="E1" s="54"/>
      <x:c r="F1" s="54"/>
      <x:c r="G1" s="54"/>
      <x:c r="H1" s="54"/>
      <x:c r="I1" s="54"/>
      <x:c r="J1" s="54"/>
      <x:c r="K1" s="54"/>
      <x:c r="L1" s="54"/>
      <x:c r="M1" s="54"/>
      <x:c r="N1" s="54"/>
      <x:c r="O1" s="54"/>
      <x:c r="P1" s="54"/>
      <x:c r="Q1" s="54"/>
      <x:c r="R1" s="54"/>
      <x:c r="S1" s="54"/>
      <x:c r="T1" s="54"/>
      <x:c r="U1" s="54"/>
      <x:c r="V1" s="54"/>
      <x:c r="W1" s="54"/>
      <x:c r="X1" s="54"/>
      <x:c r="Y1" s="54"/>
      <x:c r="Z1" s="54"/>
      <x:c r="AA1" s="54"/>
      <x:c r="AB1" s="54"/>
      <x:c r="AC1" s="54"/>
      <x:c r="AD1" s="54"/>
      <x:c r="AE1" s="54"/>
      <x:c r="AF1" s="54"/>
      <x:c r="AG1" s="54"/>
      <x:c r="AH1" s="54"/>
      <x:c r="AI1" s="54"/>
      <x:c r="AJ1" s="54"/>
      <x:c r="AK1" s="54"/>
      <x:c r="AL1" s="54"/>
      <x:c r="AM1" s="54"/>
      <x:c r="AN1" s="54"/>
      <x:c r="AO1" s="54"/>
      <x:c r="AP1" s="54"/>
      <x:c r="AQ1" s="54"/>
      <x:c r="AR1" s="54"/>
      <x:c r="AS1" s="54"/>
      <x:c r="AT1" s="54"/>
      <x:c r="AU1" s="54"/>
      <x:c r="AV1" s="54"/>
      <x:c r="AW1" s="54"/>
      <x:c r="AX1" s="54"/>
      <x:c r="AY1" s="54"/>
      <x:c r="AZ1" s="54"/>
      <x:c r="BA1" s="54"/>
      <x:c r="BB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7"/>
      <x:c r="J2" s="57"/>
      <x:c r="K2" s="57"/>
      <x:c r="L2" s="57"/>
      <x:c r="M2" s="57"/>
      <x:c r="N2" s="57"/>
      <x:c r="O2" s="57"/>
      <x:c r="P2" s="57"/>
      <x:c r="Q2" s="57"/>
      <x:c r="R2" s="57"/>
      <x:c r="S2" s="57"/>
      <x:c r="T2" s="57"/>
      <x:c r="U2" s="57"/>
      <x:c r="V2" s="57"/>
      <x:c r="W2" s="57"/>
      <x:c r="X2" s="57"/>
      <x:c r="Y2" s="57"/>
      <x:c r="Z2" s="57"/>
      <x:c r="AA2" s="57"/>
      <x:c r="AB2" s="57"/>
      <x:c r="AC2" s="57"/>
      <x:c r="AD2" s="57"/>
      <x:c r="AE2" s="57"/>
      <x:c r="AF2" s="57"/>
      <x:c r="AG2" s="57"/>
      <x:c r="AH2" s="57"/>
      <x:c r="AI2" s="57"/>
      <x:c r="AJ2" s="57"/>
      <x:c r="AK2" s="57"/>
      <x:c r="AL2" s="57"/>
      <x:c r="AM2" s="57"/>
      <x:c r="AN2" s="57"/>
      <x:c r="AO2" s="57"/>
      <x:c r="AP2" s="57"/>
      <x:c r="AQ2" s="57"/>
      <x:c r="AR2" s="57"/>
      <x:c r="AS2" s="57"/>
      <x:c r="AT2" s="57"/>
      <x:c r="AU2" s="57"/>
      <x:c r="AV2" s="57"/>
      <x:c r="AW2" s="57"/>
      <x:c r="AX2" s="57"/>
      <x:c r="AY2" s="57"/>
      <x:c r="AZ2" s="57"/>
      <x:c r="BA2" s="57"/>
      <x:c r="BB2" s="58"/>
    </x:row>
    <x:row r="3" ht="26.399999618530273" hidden="0" customHeight="1">
      <x:c r="A3" s="62" t="str">
        <x:v>Evidence ID</x:v>
      </x:c>
      <x:c r="B3" s="63" t="str">
        <x:v>Literature ID</x:v>
      </x:c>
      <x:c r="C3" s="63" t="str">
        <x:v>Source location</x:v>
      </x:c>
      <x:c r="D3" s="63" t="str">
        <x:v>Access / traceability status</x:v>
      </x:c>
      <x:c r="E3" s="63" t="str">
        <x:v>Scheduling problem / notation</x:v>
      </x:c>
      <x:c r="F3" s="63" t="str">
        <x:v>Application context</x:v>
      </x:c>
      <x:c r="G3" s="63" t="str">
        <x:v>Decision object</x:v>
      </x:c>
      <x:c r="H3" s="63" t="str">
        <x:v>System entities</x:v>
      </x:c>
      <x:c r="I3" s="63" t="str">
        <x:v>Decision variables</x:v>
      </x:c>
      <x:c r="J3" s="63" t="str">
        <x:v>Objectives</x:v>
      </x:c>
      <x:c r="K3" s="63" t="str">
        <x:v>Constraints</x:v>
      </x:c>
      <x:c r="L3" s="63" t="str">
        <x:v>Assumptions</x:v>
      </x:c>
      <x:c r="M3" s="63" t="str">
        <x:v>Environment</x:v>
      </x:c>
      <x:c r="N3" s="63" t="str">
        <x:v>Offline / online status</x:v>
      </x:c>
      <x:c r="O3" s="63" t="str">
        <x:v>Event detection / rescheduling trigger</x:v>
      </x:c>
      <x:c r="P3" s="63" t="str">
        <x:v>Disturbance model</x:v>
      </x:c>
      <x:c r="Q3" s="63" t="str">
        <x:v>Disturbance timing</x:v>
      </x:c>
      <x:c r="R3" s="63" t="str">
        <x:v>Disturbance duration</x:v>
      </x:c>
      <x:c r="S3" s="63" t="str">
        <x:v>Affected resource</x:v>
      </x:c>
      <x:c r="T3" s="63" t="str">
        <x:v>Recovery policy</x:v>
      </x:c>
      <x:c r="U3" s="63" t="str">
        <x:v>Coupling</x:v>
      </x:c>
      <x:c r="V3" s="63" t="str">
        <x:v>Solution family</x:v>
      </x:c>
      <x:c r="W3" s="63" t="str">
        <x:v>Evaluation objective</x:v>
      </x:c>
      <x:c r="X3" s="63" t="str">
        <x:v>Taxonomy extension detail</x:v>
      </x:c>
      <x:c r="Y3" s="63" t="str">
        <x:v>Encoding / state</x:v>
      </x:c>
      <x:c r="Z3" s="63" t="str">
        <x:v>Decoder / environment transition</x:v>
      </x:c>
      <x:c r="AA3" s="63" t="str">
        <x:v>Repair / conflict handling</x:v>
      </x:c>
      <x:c r="AB3" s="63" t="str">
        <x:v>Termination rule</x:v>
      </x:c>
      <x:c r="AC3" s="63" t="str">
        <x:v>Main algorithm loop</x:v>
      </x:c>
      <x:c r="AD3" s="63" t="str">
        <x:v>Improvement insertion point</x:v>
      </x:c>
      <x:c r="AE3" s="63" t="str">
        <x:v>Dataset / instance source</x:v>
      </x:c>
      <x:c r="AF3" s="63" t="str">
        <x:v>Jobs</x:v>
      </x:c>
      <x:c r="AG3" s="63" t="str">
        <x:v>Operations</x:v>
      </x:c>
      <x:c r="AH3" s="63" t="str">
        <x:v>Machines</x:v>
      </x:c>
      <x:c r="AI3" s="63" t="str">
        <x:v>AGVs</x:v>
      </x:c>
      <x:c r="AJ3" s="63" t="str">
        <x:v>Layout</x:v>
      </x:c>
      <x:c r="AK3" s="63" t="str">
        <x:v>Scale tier</x:v>
      </x:c>
      <x:c r="AL3" s="63" t="str">
        <x:v>Baselines</x:v>
      </x:c>
      <x:c r="AM3" s="63" t="str">
        <x:v>Parameter budget</x:v>
      </x:c>
      <x:c r="AN3" s="63" t="str">
        <x:v>Stopping condition</x:v>
      </x:c>
      <x:c r="AO3" s="63" t="str">
        <x:v>Independent runs</x:v>
      </x:c>
      <x:c r="AP3" s="63" t="str">
        <x:v>Random seeds</x:v>
      </x:c>
      <x:c r="AQ3" s="63" t="str">
        <x:v>Statistical tests</x:v>
      </x:c>
      <x:c r="AR3" s="63" t="str">
        <x:v>Metrics / Pareto reference point</x:v>
      </x:c>
      <x:c r="AS3" s="63" t="str">
        <x:v>Code / data / parameters</x:v>
      </x:c>
      <x:c r="AT3" s="63" t="str">
        <x:v>Author conclusion</x:v>
      </x:c>
      <x:c r="AU3" s="63" t="str">
        <x:v>Direct evidence</x:v>
      </x:c>
      <x:c r="AV3" s="63" t="str">
        <x:v>AI inference</x:v>
      </x:c>
      <x:c r="AW3" s="63" t="str">
        <x:v>Limitation</x:v>
      </x:c>
      <x:c r="AX3" s="63" t="str">
        <x:v>Unresolved verification</x:v>
      </x:c>
      <x:c r="AY3" s="63" t="str">
        <x:v>Evidence class</x:v>
      </x:c>
      <x:c r="AZ3" s="63" t="str">
        <x:v>Evidence strength</x:v>
      </x:c>
      <x:c r="BA3" s="63" t="str">
        <x:v>Review status</x:v>
      </x:c>
      <x:c r="BB3" s="64" t="str">
        <x:v>ID check</x:v>
      </x:c>
    </x:row>
    <x:row r="4" ht="92.4000015258789" hidden="0" customHeight="1">
      <x:c r="A4" s="27" t="str">
        <x:v>L001-E01</x:v>
      </x:c>
      <x:c r="B4" s="27" t="str">
        <x:v>L001</x:v>
      </x:c>
      <x:c r="C4" s="27" t="str">
        <x:v>B001；直接：Abstract；`three types of disturbances`；`event-driven rescheduling`；模型与编码章节</x:v>
      </x:c>
      <x:c r="D4" s="27" t="str">
        <x:v>Verified</x:v>
      </x:c>
      <x:c r="E4" s="27" t="str">
        <x:v>生产车间；动/确</x:v>
      </x:c>
      <x:c r="F4" s="27" t="str">
        <x:v>workshop</x:v>
      </x:c>
      <x:c r="G4" s="27" t="str">
        <x:v>combination</x:v>
      </x:c>
      <x:c r="H4" s="27" t="str">
        <x:v>工件；机器；AGV；能源</x:v>
      </x:c>
      <x:c r="I4" s="27" t="str">
        <x:v>工序排序；机器分配；车辆/任务分配；运输排序；充电决策；恢复决策</x:v>
      </x:c>
      <x:c r="J4" s="27" t="str">
        <x:v>效率；能源；稳定性；多目标组合</x:v>
      </x:c>
      <x:c r="K4" s="27" t="str">
        <x:v>工序优先；机器可选/占用；有限车辆；位置；运输时间；电池/充电；故障不可用；状态继承</x:v>
      </x:c>
      <x:c r="L4" s="27" t="str">
        <x:v>见原文；未显式报告者不补猜</x:v>
      </x:c>
      <x:c r="M4" s="27" t="str">
        <x:v>dynamic deterministic</x:v>
      </x:c>
      <x:c r="N4" s="27" t="str">
        <x:v>online</x:v>
      </x:c>
      <x:c r="O4" s="27" t="str">
        <x:v>订单取消；机器故障；AGV故障</x:v>
      </x:c>
      <x:c r="P4" s="27" t="str">
        <x:v>订单取消；机器故障；AGV故障</x:v>
      </x:c>
      <x:c r="Q4" s="27" t="str">
        <x:v>动/确</x:v>
      </x:c>
      <x:c r="R4" s="27" t="str">
        <x:v>not reported</x:v>
      </x:c>
      <x:c r="S4" s="27" t="str">
        <x:v>工件；机器；AGV；能源</x:v>
      </x:c>
      <x:c r="T4" s="27" t="str">
        <x:v>见动态处理/恢复决策字段</x:v>
      </x:c>
      <x:c r="U4" s="27" t="str">
        <x:v>joint</x:v>
      </x:c>
      <x:c r="V4" s="27" t="str">
        <x:v>hybrid</x:v>
      </x:c>
      <x:c r="W4" s="27" t="str">
        <x:v>multi-objective combination</x:v>
      </x:c>
      <x:c r="X4" s="27" t="str">
        <x:v>核心研究对象；原分类=混合；动/确</x:v>
      </x:c>
      <x:c r="Y4" s="27" t="str">
        <x:v>QNSGA-II：混合初始化＋NSGA-II＋Q-learning选择N1–N6；事件驱动IS/RS/CS重调度</x:v>
      </x:c>
      <x:c r="Z4" s="27" t="str">
        <x:v>待N5逐篇拆分解码/环境转移</x:v>
      </x:c>
      <x:c r="AA4" s="27" t="str">
        <x:v>待N5逐篇拆分修复/冲突处理</x:v>
      </x:c>
      <x:c r="AB4" s="27" t="str">
        <x:v>待N6抽取</x:v>
      </x:c>
      <x:c r="AC4" s="27" t="str">
        <x:v>QNSGA-II：混合初始化＋NSGA-II＋Q-learning选择N1–N6；事件驱动IS/RS/CS重调度</x:v>
      </x:c>
      <x:c r="AD4" s="27" t="str">
        <x:v>见算法名称与职责；具体插入点待N5抽取</x:v>
      </x:c>
      <x:c r="AE4" s="27" t="str">
        <x:v>扩展Brandimarte；HV/IGD/C-metric；完整预算与重复协议待P02/N6映射</x:v>
      </x:c>
      <x:c r="AF4" s="27" t="str">
        <x:v>待N6抽取</x:v>
      </x:c>
      <x:c r="AG4" s="27" t="str">
        <x:v>待N6抽取</x:v>
      </x:c>
      <x:c r="AH4" s="27" t="str">
        <x:v>待N6抽取</x:v>
      </x:c>
      <x:c r="AI4" s="27" t="str">
        <x:v>待N6抽取</x:v>
      </x:c>
      <x:c r="AJ4" s="27" t="str">
        <x:v>待N6抽取</x:v>
      </x:c>
      <x:c r="AK4" s="27" t="str">
        <x:v>待N6分级</x:v>
      </x:c>
      <x:c r="AL4" s="27" t="str">
        <x:v>QNSGA-II消融与三算法比较</x:v>
      </x:c>
      <x:c r="AM4" s="27" t="str">
        <x:v>待N6抽取</x:v>
      </x:c>
      <x:c r="AN4" s="27" t="str">
        <x:v>待N6抽取</x:v>
      </x:c>
      <x:c r="AO4" s="27" t="str">
        <x:v>待N6抽取</x:v>
      </x:c>
      <x:c r="AP4" s="27" t="str">
        <x:v>待N6抽取</x:v>
      </x:c>
      <x:c r="AQ4" s="27" t="str">
        <x:v>待N6抽取</x:v>
      </x:c>
      <x:c r="AR4" s="27" t="str">
        <x:v>效率；能源；稳定性；多目标组合</x:v>
      </x:c>
      <x:c r="AS4" s="27" t="str">
        <x:v>原始Markdown与N2/N4派生证据可用</x:v>
      </x:c>
      <x:c r="AT4" s="27" t="str">
        <x:v>文内结论与范围见N2引用与证据状态表</x:v>
      </x:c>
      <x:c r="AU4" s="27" t="str">
        <x:v>直接：Abstract；`three types of disturbances`；`event-driven rescheduling`；模型与编码章节；扩展Brandimarte；HV/IGD/C-metric；完整预算与重复协议待P02/N6映射</x:v>
      </x:c>
      <x:c r="AV4" s="27" t="str">
        <x:v>泛式分类仅用于全景整理，不构成当前静态创新性判断</x:v>
      </x:c>
      <x:c r="AW4" s="27" t="str">
        <x:v>跨论文性能不可直接比较</x:v>
      </x:c>
      <x:c r="AX4" s="27" t="str">
        <x:v>算法组件已完成首轮登记；编码/解码、完整预算、重复、种子和统计字段仍须N5/N6原文精读</x:v>
      </x:c>
      <x:c r="AY4" s="27" t="str">
        <x:v>direct evidence</x:v>
      </x:c>
      <x:c r="AZ4" s="27" t="str">
        <x:v>direct</x:v>
      </x:c>
      <x:c r="BA4" s="27" t="str">
        <x:v>First-pass complete</x:v>
      </x:c>
      <x:c r="BB4" s="27" t="str">
        <x:v>OK</x:v>
      </x:c>
    </x:row>
    <x:row r="5" ht="52.79999923706055" hidden="0" customHeight="1">
      <x:c r="A5" s="27" t="str">
        <x:v>L002-E01</x:v>
      </x:c>
      <x:c r="B5" s="27" t="str">
        <x:v>L002</x:v>
      </x:c>
      <x:c r="C5" s="27" t="str">
        <x:v>B002；直接：摘要；`FJSP-AGV`；“不同编码段”；“最大完工时间”</x:v>
      </x:c>
      <x:c r="D5" s="27" t="str">
        <x:v>Verified</x:v>
      </x:c>
      <x:c r="E5" s="27" t="str">
        <x:v>生产车间；静/确</x:v>
      </x:c>
      <x:c r="F5" s="27" t="str">
        <x:v>workshop</x:v>
      </x:c>
      <x:c r="G5" s="27" t="str">
        <x:v>combination</x:v>
      </x:c>
      <x:c r="H5" s="27" t="str">
        <x:v>工件；机器；AGV</x:v>
      </x:c>
      <x:c r="I5" s="27" t="str">
        <x:v>工序排序；机器分配；车辆/任务分配；运输排序</x:v>
      </x:c>
      <x:c r="J5" s="27" t="str">
        <x:v>效率</x:v>
      </x:c>
      <x:c r="K5" s="27" t="str">
        <x:v>工序优先；机器可选/占用；有限车辆；运输时间</x:v>
      </x:c>
      <x:c r="L5" s="27" t="str">
        <x:v>见原文；未显式报告者不补猜</x:v>
      </x:c>
      <x:c r="M5" s="27" t="str">
        <x:v>static deterministic</x:v>
      </x:c>
      <x:c r="N5" s="27" t="str">
        <x:v>offline</x:v>
      </x:c>
      <x:c r="O5" s="27" t="str">
        <x:v>无事件</x:v>
      </x:c>
      <x:c r="P5" s="27" t="str">
        <x:v>无事件</x:v>
      </x:c>
      <x:c r="Q5" s="27" t="str">
        <x:v>静/确</x:v>
      </x:c>
      <x:c r="R5" s="27" t="str">
        <x:v>not reported</x:v>
      </x:c>
      <x:c r="S5" s="27" t="str">
        <x:v>工件；机器；AGV</x:v>
      </x:c>
      <x:c r="T5" s="27" t="str">
        <x:v>见动态处理/恢复决策字段</x:v>
      </x:c>
      <x:c r="U5" s="27" t="str">
        <x:v>joint</x:v>
      </x:c>
      <x:c r="V5" s="27" t="str">
        <x:v>hybrid</x:v>
      </x:c>
      <x:c r="W5" s="27" t="str">
        <x:v>efficiency</x:v>
      </x:c>
      <x:c r="X5" s="27" t="str">
        <x:v>核心车间原始研究；原分类=混合；静/确</x:v>
      </x:c>
      <x:c r="Y5" s="27" t="str">
        <x:v>FJSP–AGV静态混合求解；不同编码段与AGV数量约束（具体优化器待N5精读）</x:v>
      </x:c>
      <x:c r="Z5" s="27" t="str">
        <x:v>待N5逐篇拆分解码/环境转移</x:v>
      </x:c>
      <x:c r="AA5" s="27" t="str">
        <x:v>待N5逐篇拆分修复/冲突处理</x:v>
      </x:c>
      <x:c r="AB5" s="27" t="str">
        <x:v>待N6抽取</x:v>
      </x:c>
      <x:c r="AC5" s="27" t="str">
        <x:v>FJSP–AGV静态混合求解；不同编码段与AGV数量约束（具体优化器待N5精读）</x:v>
      </x:c>
      <x:c r="AD5" s="27" t="str">
        <x:v>见算法名称与职责；具体插入点待N5抽取</x:v>
      </x:c>
      <x:c r="AE5" s="27" t="str">
        <x:v>静态FJSP–AGV算例；规模、重复和统计待N6抽取</x:v>
      </x:c>
      <x:c r="AF5" s="27" t="str">
        <x:v>待N6抽取</x:v>
      </x:c>
      <x:c r="AG5" s="27" t="str">
        <x:v>待N6抽取</x:v>
      </x:c>
      <x:c r="AH5" s="27" t="str">
        <x:v>待N6抽取</x:v>
      </x:c>
      <x:c r="AI5" s="27" t="str">
        <x:v>待N6抽取</x:v>
      </x:c>
      <x:c r="AJ5" s="27" t="str">
        <x:v>待N6抽取</x:v>
      </x:c>
      <x:c r="AK5" s="27" t="str">
        <x:v>待N6分级</x:v>
      </x:c>
      <x:c r="AL5" s="27" t="str">
        <x:v>见文内对照；待N6标准化</x:v>
      </x:c>
      <x:c r="AM5" s="27" t="str">
        <x:v>待N6抽取</x:v>
      </x:c>
      <x:c r="AN5" s="27" t="str">
        <x:v>待N6抽取</x:v>
      </x:c>
      <x:c r="AO5" s="27" t="str">
        <x:v>待N6抽取</x:v>
      </x:c>
      <x:c r="AP5" s="27" t="str">
        <x:v>待N6抽取</x:v>
      </x:c>
      <x:c r="AQ5" s="27" t="str">
        <x:v>待N6抽取</x:v>
      </x:c>
      <x:c r="AR5" s="27" t="str">
        <x:v>效率</x:v>
      </x:c>
      <x:c r="AS5" s="27" t="str">
        <x:v>原始Markdown与N2/N4派生证据可用</x:v>
      </x:c>
      <x:c r="AT5" s="27" t="str">
        <x:v>文内结论与范围见N2引用与证据状态表</x:v>
      </x:c>
      <x:c r="AU5" s="27" t="str">
        <x:v>直接：摘要；`FJSP-AGV`；“不同编码段”；“最大完工时间”；静态FJSP–AGV算例；规模、重复和统计待N6抽取</x:v>
      </x:c>
      <x:c r="AV5" s="27" t="str">
        <x:v>泛式分类仅用于全景整理，不构成当前静态创新性判断</x:v>
      </x:c>
      <x:c r="AW5" s="27" t="str">
        <x:v>跨论文性能不可直接比较</x:v>
      </x:c>
      <x:c r="AX5" s="27" t="str">
        <x:v>算法组件已完成首轮登记；编码/解码、完整预算、重复、种子和统计字段仍须N5/N6原文精读</x:v>
      </x:c>
      <x:c r="AY5" s="27" t="str">
        <x:v>direct evidence</x:v>
      </x:c>
      <x:c r="AZ5" s="27" t="str">
        <x:v>direct</x:v>
      </x:c>
      <x:c r="BA5" s="27" t="str">
        <x:v>First-pass complete</x:v>
      </x:c>
      <x:c r="BB5" s="27" t="str">
        <x:v>OK</x:v>
      </x:c>
    </x:row>
    <x:row r="6" ht="66" hidden="0" customHeight="1">
      <x:c r="A6" s="27" t="str">
        <x:v>L003-E01</x:v>
      </x:c>
      <x:c r="B6" s="27" t="str">
        <x:v>L003</x:v>
      </x:c>
      <x:c r="C6" s="27" t="str">
        <x:v>B003；直接：摘要“离散动态特性”“实时动态调度”；限制：具体随机模型与场景未报告</x:v>
      </x:c>
      <x:c r="D6" s="27" t="str">
        <x:v>Original-source verified</x:v>
      </x:c>
      <x:c r="E6" s="27" t="str">
        <x:v>通用运输（具体行业未报告）；动/未报</x:v>
      </x:c>
      <x:c r="F6" s="27" t="str">
        <x:v>transport</x:v>
      </x:c>
      <x:c r="G6" s="27" t="str">
        <x:v>vehicle assignment</x:v>
      </x:c>
      <x:c r="H6" s="27" t="str">
        <x:v>任务；AGV</x:v>
      </x:c>
      <x:c r="I6" s="27" t="str">
        <x:v>车辆/任务分配</x:v>
      </x:c>
      <x:c r="J6" s="27" t="str">
        <x:v>效率；未报告</x:v>
      </x:c>
      <x:c r="K6" s="27" t="str">
        <x:v>多智能体协作；离散动态状态</x:v>
      </x:c>
      <x:c r="L6" s="27" t="str">
        <x:v>见原文；未显式报告者不补猜</x:v>
      </x:c>
      <x:c r="M6" s="27" t="str">
        <x:v>other</x:v>
      </x:c>
      <x:c r="N6" s="27" t="str">
        <x:v>online</x:v>
      </x:c>
      <x:c r="O6" s="27" t="str">
        <x:v>任务/状态在线变化</x:v>
      </x:c>
      <x:c r="P6" s="27" t="str">
        <x:v>任务/状态在线变化</x:v>
      </x:c>
      <x:c r="Q6" s="27" t="str">
        <x:v>动/未报</x:v>
      </x:c>
      <x:c r="R6" s="27" t="str">
        <x:v>not reported</x:v>
      </x:c>
      <x:c r="S6" s="27" t="str">
        <x:v>任务；AGV</x:v>
      </x:c>
      <x:c r="T6" s="27" t="str">
        <x:v>见动态处理/恢复决策字段</x:v>
      </x:c>
      <x:c r="U6" s="27" t="str">
        <x:v>hierarchical</x:v>
      </x:c>
      <x:c r="V6" s="27" t="str">
        <x:v>learning-based</x:v>
      </x:c>
      <x:c r="W6" s="27" t="str">
        <x:v>efficiency</x:v>
      </x:c>
      <x:c r="X6" s="27" t="str">
        <x:v>路径/任务相邻研究；原分类=学习型；动/未报</x:v>
      </x:c>
      <x:c r="Y6" s="27" t="str">
        <x:v>递阶强化学习多智能体AGV调度</x:v>
      </x:c>
      <x:c r="Z6" s="27" t="str">
        <x:v>待N5逐篇拆分解码/环境转移</x:v>
      </x:c>
      <x:c r="AA6" s="27" t="str">
        <x:v>待N5逐篇拆分修复/冲突处理</x:v>
      </x:c>
      <x:c r="AB6" s="27" t="str">
        <x:v>待N6抽取</x:v>
      </x:c>
      <x:c r="AC6" s="27" t="str">
        <x:v>递阶强化学习多智能体AGV调度</x:v>
      </x:c>
      <x:c r="AD6" s="27" t="str">
        <x:v>见算法名称与职责；具体插入点待N5抽取</x:v>
      </x:c>
      <x:c r="AE6" s="27" t="str">
        <x:v>多智能体AGV实验；具体场景和随机协议未报告</x:v>
      </x:c>
      <x:c r="AF6" s="27" t="str">
        <x:v>待N6抽取</x:v>
      </x:c>
      <x:c r="AG6" s="27" t="str">
        <x:v>待N6抽取</x:v>
      </x:c>
      <x:c r="AH6" s="27" t="str">
        <x:v>待N6抽取</x:v>
      </x:c>
      <x:c r="AI6" s="27" t="str">
        <x:v>待N6抽取</x:v>
      </x:c>
      <x:c r="AJ6" s="27" t="str">
        <x:v>待N6抽取</x:v>
      </x:c>
      <x:c r="AK6" s="27" t="str">
        <x:v>待N6分级</x:v>
      </x:c>
      <x:c r="AL6" s="27" t="str">
        <x:v>见文内对照；待N6标准化</x:v>
      </x:c>
      <x:c r="AM6" s="27" t="str">
        <x:v>待N6抽取</x:v>
      </x:c>
      <x:c r="AN6" s="27" t="str">
        <x:v>待N6抽取</x:v>
      </x:c>
      <x:c r="AO6" s="27" t="str">
        <x:v>待N6抽取</x:v>
      </x:c>
      <x:c r="AP6" s="27" t="str">
        <x:v>待N6抽取</x:v>
      </x:c>
      <x:c r="AQ6" s="27" t="str">
        <x:v>待N6抽取</x:v>
      </x:c>
      <x:c r="AR6" s="27" t="str">
        <x:v>效率；未报告</x:v>
      </x:c>
      <x:c r="AS6" s="27" t="str">
        <x:v>原始Markdown与N2/N4派生证据可用</x:v>
      </x:c>
      <x:c r="AT6" s="27" t="str">
        <x:v>文内结论与范围见N2引用与证据状态表</x:v>
      </x:c>
      <x:c r="AU6" s="27" t="str">
        <x:v>直接：摘要“离散动态特性”“实时动态调度”；限制：具体随机模型与场景未报告；多智能体AGV实验；具体场景和随机协议未报告</x:v>
      </x:c>
      <x:c r="AV6" s="27" t="str">
        <x:v>泛式分类仅用于全景整理，不构成当前静态创新性判断</x:v>
      </x:c>
      <x:c r="AW6" s="27" t="str">
        <x:v>随机性/事件生成机制不完整</x:v>
      </x:c>
      <x:c r="AX6" s="27" t="str">
        <x:v>算法组件已完成首轮登记；编码/解码、完整预算、重复、种子和统计字段仍须N5/N6原文精读</x:v>
      </x:c>
      <x:c r="AY6" s="27" t="str">
        <x:v>direct evidence</x:v>
      </x:c>
      <x:c r="AZ6" s="27" t="str">
        <x:v>direct</x:v>
      </x:c>
      <x:c r="BA6" s="27" t="str">
        <x:v>First-pass complete</x:v>
      </x:c>
      <x:c r="BB6" s="27" t="str">
        <x:v>OK</x:v>
      </x:c>
    </x:row>
    <x:row r="7" ht="52.79999923706055" hidden="0" customHeight="1">
      <x:c r="A7" s="27" t="str">
        <x:v>L004-E01</x:v>
      </x:c>
      <x:c r="B7" s="27" t="str">
        <x:v>L004</x:v>
      </x:c>
      <x:c r="C7" s="27" t="str">
        <x:v>B004；直接：摘要“异构图状态”“联合动作空间”“协同决策”</x:v>
      </x:c>
      <x:c r="D7" s="27" t="str">
        <x:v>Verified</x:v>
      </x:c>
      <x:c r="E7" s="27" t="str">
        <x:v>生产车间；静/确</x:v>
      </x:c>
      <x:c r="F7" s="27" t="str">
        <x:v>workshop</x:v>
      </x:c>
      <x:c r="G7" s="27" t="str">
        <x:v>combination</x:v>
      </x:c>
      <x:c r="H7" s="27" t="str">
        <x:v>工序；机器；AGV</x:v>
      </x:c>
      <x:c r="I7" s="27" t="str">
        <x:v>工序排序；机器分配；车辆/任务分配</x:v>
      </x:c>
      <x:c r="J7" s="27" t="str">
        <x:v>效率；稳定性；鲁棒性</x:v>
      </x:c>
      <x:c r="K7" s="27" t="str">
        <x:v>工序优先；机器可选/占用；运输关系与时间</x:v>
      </x:c>
      <x:c r="L7" s="27" t="str">
        <x:v>见原文；未显式报告者不补猜</x:v>
      </x:c>
      <x:c r="M7" s="27" t="str">
        <x:v>static deterministic</x:v>
      </x:c>
      <x:c r="N7" s="27" t="str">
        <x:v>offline</x:v>
      </x:c>
      <x:c r="O7" s="27" t="str">
        <x:v>无事件</x:v>
      </x:c>
      <x:c r="P7" s="27" t="str">
        <x:v>无事件</x:v>
      </x:c>
      <x:c r="Q7" s="27" t="str">
        <x:v>静/确</x:v>
      </x:c>
      <x:c r="R7" s="27" t="str">
        <x:v>not reported</x:v>
      </x:c>
      <x:c r="S7" s="27" t="str">
        <x:v>工序；机器；AGV</x:v>
      </x:c>
      <x:c r="T7" s="27" t="str">
        <x:v>见动态处理/恢复决策字段</x:v>
      </x:c>
      <x:c r="U7" s="27" t="str">
        <x:v>joint</x:v>
      </x:c>
      <x:c r="V7" s="27" t="str">
        <x:v>learning-based</x:v>
      </x:c>
      <x:c r="W7" s="27" t="str">
        <x:v>robustness</x:v>
      </x:c>
      <x:c r="X7" s="27" t="str">
        <x:v>核心车间原始研究；原分类=学习型；静/确</x:v>
      </x:c>
      <x:c r="Y7" s="27" t="str">
        <x:v>异构图注意力＋联合动作空间的学习型协同调度</x:v>
      </x:c>
      <x:c r="Z7" s="27" t="str">
        <x:v>待N5逐篇拆分解码/环境转移</x:v>
      </x:c>
      <x:c r="AA7" s="27" t="str">
        <x:v>待N5逐篇拆分修复/冲突处理</x:v>
      </x:c>
      <x:c r="AB7" s="27" t="str">
        <x:v>待N6抽取</x:v>
      </x:c>
      <x:c r="AC7" s="27" t="str">
        <x:v>异构图注意力＋联合动作空间的学习型协同调度</x:v>
      </x:c>
      <x:c r="AD7" s="27" t="str">
        <x:v>见算法名称与职责；具体插入点待N5抽取</x:v>
      </x:c>
      <x:c r="AE7" s="27" t="str">
        <x:v>静态联合调度实验；稳定性/鲁棒性协议待N6抽取</x:v>
      </x:c>
      <x:c r="AF7" s="27" t="str">
        <x:v>待N6抽取</x:v>
      </x:c>
      <x:c r="AG7" s="27" t="str">
        <x:v>待N6抽取</x:v>
      </x:c>
      <x:c r="AH7" s="27" t="str">
        <x:v>待N6抽取</x:v>
      </x:c>
      <x:c r="AI7" s="27" t="str">
        <x:v>待N6抽取</x:v>
      </x:c>
      <x:c r="AJ7" s="27" t="str">
        <x:v>待N6抽取</x:v>
      </x:c>
      <x:c r="AK7" s="27" t="str">
        <x:v>待N6分级</x:v>
      </x:c>
      <x:c r="AL7" s="27" t="str">
        <x:v>见文内对照；待N6标准化</x:v>
      </x:c>
      <x:c r="AM7" s="27" t="str">
        <x:v>待N6抽取</x:v>
      </x:c>
      <x:c r="AN7" s="27" t="str">
        <x:v>待N6抽取</x:v>
      </x:c>
      <x:c r="AO7" s="27" t="str">
        <x:v>待N6抽取</x:v>
      </x:c>
      <x:c r="AP7" s="27" t="str">
        <x:v>待N6抽取</x:v>
      </x:c>
      <x:c r="AQ7" s="27" t="str">
        <x:v>待N6抽取</x:v>
      </x:c>
      <x:c r="AR7" s="27" t="str">
        <x:v>效率；稳定性；鲁棒性</x:v>
      </x:c>
      <x:c r="AS7" s="27" t="str">
        <x:v>原始Markdown与N2/N4派生证据可用</x:v>
      </x:c>
      <x:c r="AT7" s="27" t="str">
        <x:v>文内结论与范围见N2引用与证据状态表</x:v>
      </x:c>
      <x:c r="AU7" s="27" t="str">
        <x:v>直接：摘要“异构图状态”“联合动作空间”“协同决策”；静态联合调度实验；稳定性/鲁棒性协议待N6抽取</x:v>
      </x:c>
      <x:c r="AV7" s="27" t="str">
        <x:v>泛式分类仅用于全景整理，不构成当前静态创新性判断</x:v>
      </x:c>
      <x:c r="AW7" s="27" t="str">
        <x:v>跨论文性能不可直接比较</x:v>
      </x:c>
      <x:c r="AX7" s="27" t="str">
        <x:v>算法组件已完成首轮登记；编码/解码、完整预算、重复、种子和统计字段仍须N5/N6原文精读</x:v>
      </x:c>
      <x:c r="AY7" s="27" t="str">
        <x:v>direct evidence</x:v>
      </x:c>
      <x:c r="AZ7" s="27" t="str">
        <x:v>direct</x:v>
      </x:c>
      <x:c r="BA7" s="27" t="str">
        <x:v>First-pass complete</x:v>
      </x:c>
      <x:c r="BB7" s="27" t="str">
        <x:v>OK</x:v>
      </x:c>
    </x:row>
    <x:row r="8" ht="52.79999923706055" hidden="0" customHeight="1">
      <x:c r="A8" s="27" t="str">
        <x:v>L005-E01</x:v>
      </x:c>
      <x:c r="B8" s="27" t="str">
        <x:v>L005</x:v>
      </x:c>
      <x:c r="C8" s="27" t="str">
        <x:v>B005；直接：摘要“异构AGV”“资源配置优化模型”“三层编码”</x:v>
      </x:c>
      <x:c r="D8" s="27" t="str">
        <x:v>Original-source verified</x:v>
      </x:c>
      <x:c r="E8" s="27" t="str">
        <x:v>生产车间（针织）；静/确</x:v>
      </x:c>
      <x:c r="F8" s="27" t="str">
        <x:v>workshop</x:v>
      </x:c>
      <x:c r="G8" s="27" t="str">
        <x:v>combination</x:v>
      </x:c>
      <x:c r="H8" s="27" t="str">
        <x:v>任务；机器；异构AGV</x:v>
      </x:c>
      <x:c r="I8" s="27" t="str">
        <x:v>运输排序；车辆/任务分配；资源配置</x:v>
      </x:c>
      <x:c r="J8" s="27" t="str">
        <x:v>效率；稳定性</x:v>
      </x:c>
      <x:c r="K8" s="27" t="str">
        <x:v>异构车辆；有限车辆；机器顺序相关准备时间</x:v>
      </x:c>
      <x:c r="L8" s="27" t="str">
        <x:v>见原文；未显式报告者不补猜</x:v>
      </x:c>
      <x:c r="M8" s="27" t="str">
        <x:v>static deterministic</x:v>
      </x:c>
      <x:c r="N8" s="27" t="str">
        <x:v>offline</x:v>
      </x:c>
      <x:c r="O8" s="27" t="str">
        <x:v>无事件</x:v>
      </x:c>
      <x:c r="P8" s="27" t="str">
        <x:v>无事件</x:v>
      </x:c>
      <x:c r="Q8" s="27" t="str">
        <x:v>静/确</x:v>
      </x:c>
      <x:c r="R8" s="27" t="str">
        <x:v>not reported</x:v>
      </x:c>
      <x:c r="S8" s="27" t="str">
        <x:v>任务；机器；异构AGV</x:v>
      </x:c>
      <x:c r="T8" s="27" t="str">
        <x:v>见动态处理/恢复决策字段</x:v>
      </x:c>
      <x:c r="U8" s="27" t="str">
        <x:v>joint</x:v>
      </x:c>
      <x:c r="V8" s="27" t="str">
        <x:v>hybrid</x:v>
      </x:c>
      <x:c r="W8" s="27" t="str">
        <x:v>robustness</x:v>
      </x:c>
      <x:c r="X8" s="27" t="str">
        <x:v>核心车间原始研究；原分类=混合；静/确</x:v>
      </x:c>
      <x:c r="Y8" s="27" t="str">
        <x:v>Q-learning改进果蝇算法；三层编码；异构AGV资源配置</x:v>
      </x:c>
      <x:c r="Z8" s="27" t="str">
        <x:v>待N5逐篇拆分解码/环境转移</x:v>
      </x:c>
      <x:c r="AA8" s="27" t="str">
        <x:v>待N5逐篇拆分修复/冲突处理</x:v>
      </x:c>
      <x:c r="AB8" s="27" t="str">
        <x:v>待N6抽取</x:v>
      </x:c>
      <x:c r="AC8" s="27" t="str">
        <x:v>Q-learning改进果蝇算法；三层编码；异构AGV资源配置</x:v>
      </x:c>
      <x:c r="AD8" s="27" t="str">
        <x:v>见算法名称与职责；具体插入点待N5抽取</x:v>
      </x:c>
      <x:c r="AE8" s="27" t="str">
        <x:v>针织车间资源配置实验；卷期与完整协议待更新</x:v>
      </x:c>
      <x:c r="AF8" s="27" t="str">
        <x:v>待N6抽取</x:v>
      </x:c>
      <x:c r="AG8" s="27" t="str">
        <x:v>待N6抽取</x:v>
      </x:c>
      <x:c r="AH8" s="27" t="str">
        <x:v>待N6抽取</x:v>
      </x:c>
      <x:c r="AI8" s="27" t="str">
        <x:v>待N6抽取</x:v>
      </x:c>
      <x:c r="AJ8" s="27" t="str">
        <x:v>待N6抽取</x:v>
      </x:c>
      <x:c r="AK8" s="27" t="str">
        <x:v>待N6分级</x:v>
      </x:c>
      <x:c r="AL8" s="27" t="str">
        <x:v>见文内对照；待N6标准化</x:v>
      </x:c>
      <x:c r="AM8" s="27" t="str">
        <x:v>待N6抽取</x:v>
      </x:c>
      <x:c r="AN8" s="27" t="str">
        <x:v>待N6抽取</x:v>
      </x:c>
      <x:c r="AO8" s="27" t="str">
        <x:v>待N6抽取</x:v>
      </x:c>
      <x:c r="AP8" s="27" t="str">
        <x:v>待N6抽取</x:v>
      </x:c>
      <x:c r="AQ8" s="27" t="str">
        <x:v>待N6抽取</x:v>
      </x:c>
      <x:c r="AR8" s="27" t="str">
        <x:v>效率；稳定性</x:v>
      </x:c>
      <x:c r="AS8" s="27" t="str">
        <x:v>原始Markdown与N2/N4派生证据可用</x:v>
      </x:c>
      <x:c r="AT8" s="27" t="str">
        <x:v>文内结论与范围见N2引用与证据状态表</x:v>
      </x:c>
      <x:c r="AU8" s="27" t="str">
        <x:v>直接：摘要“异构AGV”“资源配置优化模型”“三层编码”；针织车间资源配置实验；卷期与完整协议待更新</x:v>
      </x:c>
      <x:c r="AV8" s="27" t="str">
        <x:v>泛式分类仅用于全景整理，不构成当前静态创新性判断</x:v>
      </x:c>
      <x:c r="AW8" s="27" t="str">
        <x:v>跨论文性能不可直接比较</x:v>
      </x:c>
      <x:c r="AX8" s="27" t="str">
        <x:v>算法组件已完成首轮登记；编码/解码、完整预算、重复、种子和统计字段仍须N5/N6原文精读</x:v>
      </x:c>
      <x:c r="AY8" s="27" t="str">
        <x:v>direct evidence</x:v>
      </x:c>
      <x:c r="AZ8" s="27" t="str">
        <x:v>direct</x:v>
      </x:c>
      <x:c r="BA8" s="27" t="str">
        <x:v>First-pass complete</x:v>
      </x:c>
      <x:c r="BB8" s="27" t="str">
        <x:v>OK</x:v>
      </x:c>
    </x:row>
    <x:row r="9" ht="52.79999923706055" hidden="0" customHeight="1">
      <x:c r="A9" s="27" t="str">
        <x:v>L006-E01</x:v>
      </x:c>
      <x:c r="B9" s="27" t="str">
        <x:v>L006</x:v>
      </x:c>
      <x:c r="C9" s="27" t="str">
        <x:v>B006；直接：摘要；“关键技术”；第3章；不作单一实验情境编码</x:v>
      </x:c>
      <x:c r="D9" s="27" t="str">
        <x:v>Verified</x:v>
      </x:c>
      <x:c r="E9" s="27" t="str">
        <x:v>跨场景（综述，以3C车间为主）；跨/跨</x:v>
      </x:c>
      <x:c r="F9" s="27" t="str">
        <x:v>other</x:v>
      </x:c>
      <x:c r="G9" s="27" t="str">
        <x:v>combination</x:v>
      </x:c>
      <x:c r="H9" s="27" t="str">
        <x:v>任务；AGV；路网；管理系统</x:v>
      </x:c>
      <x:c r="I9" s="27" t="str">
        <x:v>车辆/任务分配；路径规划；冲突控制；恢复决策</x:v>
      </x:c>
      <x:c r="J9" s="27" t="str">
        <x:v>跨类型（综述）</x:v>
      </x:c>
      <x:c r="K9" s="27" t="str">
        <x:v>任务数据库；路径；多机协同；动态管控</x:v>
      </x:c>
      <x:c r="L9" s="27" t="str">
        <x:v>见原文；未显式报告者不补猜</x:v>
      </x:c>
      <x:c r="M9" s="27" t="str">
        <x:v>not reported</x:v>
      </x:c>
      <x:c r="N9" s="27" t="str">
        <x:v>not reported</x:v>
      </x:c>
      <x:c r="O9" s="27" t="str">
        <x:v>跨类型（综述）</x:v>
      </x:c>
      <x:c r="P9" s="27" t="str">
        <x:v>跨类型（综述）</x:v>
      </x:c>
      <x:c r="Q9" s="27" t="str">
        <x:v>跨/跨</x:v>
      </x:c>
      <x:c r="R9" s="27" t="str">
        <x:v>not reported</x:v>
      </x:c>
      <x:c r="S9" s="27" t="str">
        <x:v>任务；AGV；路网；管理系统</x:v>
      </x:c>
      <x:c r="T9" s="27" t="str">
        <x:v>见动态处理/恢复决策字段</x:v>
      </x:c>
      <x:c r="U9" s="27" t="str">
        <x:v>unclear</x:v>
      </x:c>
      <x:c r="V9" s="27" t="str">
        <x:v>not reported</x:v>
      </x:c>
      <x:c r="W9" s="27" t="str">
        <x:v>efficiency</x:v>
      </x:c>
      <x:c r="X9" s="27" t="str">
        <x:v>综述；原分类=跨类型（综述）；跨/跨</x:v>
      </x:c>
      <x:c r="Y9" s="27" t="str">
        <x:v>综述：任务数据库、路径规划、多机协同和动态管控方法</x:v>
      </x:c>
      <x:c r="Z9" s="27" t="str">
        <x:v>待N5逐篇拆分解码/环境转移</x:v>
      </x:c>
      <x:c r="AA9" s="27" t="str">
        <x:v>待N5逐篇拆分修复/冲突处理</x:v>
      </x:c>
      <x:c r="AB9" s="27" t="str">
        <x:v>待N6抽取</x:v>
      </x:c>
      <x:c r="AC9" s="27" t="str">
        <x:v>综述：任务数据库、路径规划、多机协同和动态管控方法</x:v>
      </x:c>
      <x:c r="AD9" s="27" t="str">
        <x:v>见算法名称与职责；具体插入点待N5抽取</x:v>
      </x:c>
      <x:c r="AE9" s="27" t="str">
        <x:v>综述，无统一实验协议</x:v>
      </x:c>
      <x:c r="AF9" s="27" t="str">
        <x:v>待N6抽取</x:v>
      </x:c>
      <x:c r="AG9" s="27" t="str">
        <x:v>待N6抽取</x:v>
      </x:c>
      <x:c r="AH9" s="27" t="str">
        <x:v>待N6抽取</x:v>
      </x:c>
      <x:c r="AI9" s="27" t="str">
        <x:v>待N6抽取</x:v>
      </x:c>
      <x:c r="AJ9" s="27" t="str">
        <x:v>待N6抽取</x:v>
      </x:c>
      <x:c r="AK9" s="27" t="str">
        <x:v>待N6分级</x:v>
      </x:c>
      <x:c r="AL9" s="27" t="str">
        <x:v>见文内对照；待N6标准化</x:v>
      </x:c>
      <x:c r="AM9" s="27" t="str">
        <x:v>待N6抽取</x:v>
      </x:c>
      <x:c r="AN9" s="27" t="str">
        <x:v>待N6抽取</x:v>
      </x:c>
      <x:c r="AO9" s="27" t="str">
        <x:v>待N6抽取</x:v>
      </x:c>
      <x:c r="AP9" s="27" t="str">
        <x:v>待N6抽取</x:v>
      </x:c>
      <x:c r="AQ9" s="27" t="str">
        <x:v>待N6抽取</x:v>
      </x:c>
      <x:c r="AR9" s="27" t="str">
        <x:v>跨类型（综述）</x:v>
      </x:c>
      <x:c r="AS9" s="27" t="str">
        <x:v>原始Markdown与N2/N4派生证据可用</x:v>
      </x:c>
      <x:c r="AT9" s="27" t="str">
        <x:v>文内结论与范围见N2引用与证据状态表</x:v>
      </x:c>
      <x:c r="AU9" s="27" t="str">
        <x:v>直接：摘要；“关键技术”；第3章；不作单一实验情境编码；综述，无统一实验协议</x:v>
      </x:c>
      <x:c r="AV9" s="27" t="str">
        <x:v>泛式分类仅用于全景整理，不构成当前静态创新性判断</x:v>
      </x:c>
      <x:c r="AW9" s="27" t="str">
        <x:v>跨论文性能不可直接比较</x:v>
      </x:c>
      <x:c r="AX9" s="27" t="str">
        <x:v>算法组件已完成首轮登记；编码/解码、完整预算、重复、种子和统计字段仍须N5/N6原文精读</x:v>
      </x:c>
      <x:c r="AY9" s="27" t="str">
        <x:v>direct evidence</x:v>
      </x:c>
      <x:c r="AZ9" s="27" t="str">
        <x:v>direct</x:v>
      </x:c>
      <x:c r="BA9" s="27" t="str">
        <x:v>First-pass complete</x:v>
      </x:c>
      <x:c r="BB9" s="27" t="str">
        <x:v>OK</x:v>
      </x:c>
    </x:row>
    <x:row r="10" ht="52.79999923706055" hidden="0" customHeight="1">
      <x:c r="A10" s="27" t="str">
        <x:v>L007-E01</x:v>
      </x:c>
      <x:c r="B10" s="27" t="str">
        <x:v>L007</x:v>
      </x:c>
      <x:c r="C10" s="27" t="str">
        <x:v>B007；直接：摘要/关键词；“两阶段算法”；“碰撞检测与避免”；“480”</x:v>
      </x:c>
      <x:c r="D10" s="27" t="str">
        <x:v>Verified</x:v>
      </x:c>
      <x:c r="E10" s="27" t="str">
        <x:v>生产车间（半导体）；静/确</x:v>
      </x:c>
      <x:c r="F10" s="27" t="str">
        <x:v>workshop</x:v>
      </x:c>
      <x:c r="G10" s="27" t="str">
        <x:v>combination</x:v>
      </x:c>
      <x:c r="H10" s="27" t="str">
        <x:v>搬运任务；AGV；路网/工位</x:v>
      </x:c>
      <x:c r="I10" s="27" t="str">
        <x:v>车辆/任务分配；路径规划；冲突控制</x:v>
      </x:c>
      <x:c r="J10" s="27" t="str">
        <x:v>效率；安全</x:v>
      </x:c>
      <x:c r="K10" s="27" t="str">
        <x:v>路径互斥；运输任务；有限车辆</x:v>
      </x:c>
      <x:c r="L10" s="27" t="str">
        <x:v>见原文；未显式报告者不补猜</x:v>
      </x:c>
      <x:c r="M10" s="27" t="str">
        <x:v>static deterministic</x:v>
      </x:c>
      <x:c r="N10" s="27" t="str">
        <x:v>offline</x:v>
      </x:c>
      <x:c r="O10" s="27" t="str">
        <x:v>碰撞风险</x:v>
      </x:c>
      <x:c r="P10" s="27" t="str">
        <x:v>碰撞风险</x:v>
      </x:c>
      <x:c r="Q10" s="27" t="str">
        <x:v>静/确</x:v>
      </x:c>
      <x:c r="R10" s="27" t="str">
        <x:v>not reported</x:v>
      </x:c>
      <x:c r="S10" s="27" t="str">
        <x:v>搬运任务；AGV；路网/工位</x:v>
      </x:c>
      <x:c r="T10" s="27" t="str">
        <x:v>见动态处理/恢复决策字段</x:v>
      </x:c>
      <x:c r="U10" s="27" t="str">
        <x:v>sequential</x:v>
      </x:c>
      <x:c r="V10" s="27" t="str">
        <x:v>hybrid</x:v>
      </x:c>
      <x:c r="W10" s="27" t="str">
        <x:v>safety</x:v>
      </x:c>
      <x:c r="X10" s="27" t="str">
        <x:v>路径/任务相邻研究；原分类=混合；静/确</x:v>
      </x:c>
      <x:c r="Y10" s="27" t="str">
        <x:v>两阶段任务分配—路径规划＋碰撞检测/避免</x:v>
      </x:c>
      <x:c r="Z10" s="27" t="str">
        <x:v>待N5逐篇拆分解码/环境转移</x:v>
      </x:c>
      <x:c r="AA10" s="27" t="str">
        <x:v>待N5逐篇拆分修复/冲突处理</x:v>
      </x:c>
      <x:c r="AB10" s="27" t="str">
        <x:v>待N6抽取</x:v>
      </x:c>
      <x:c r="AC10" s="27" t="str">
        <x:v>两阶段任务分配—路径规划＋碰撞检测/避免</x:v>
      </x:c>
      <x:c r="AD10" s="27" t="str">
        <x:v>见算法名称与职责；具体插入点待N5抽取</x:v>
      </x:c>
      <x:c r="AE10" s="27" t="str">
        <x:v>半导体车间；文中含480任务锚点与灵敏度分析</x:v>
      </x:c>
      <x:c r="AF10" s="27" t="str">
        <x:v>待N6抽取</x:v>
      </x:c>
      <x:c r="AG10" s="27" t="str">
        <x:v>待N6抽取</x:v>
      </x:c>
      <x:c r="AH10" s="27" t="str">
        <x:v>待N6抽取</x:v>
      </x:c>
      <x:c r="AI10" s="27" t="str">
        <x:v>待N6抽取</x:v>
      </x:c>
      <x:c r="AJ10" s="27" t="str">
        <x:v>待N6抽取</x:v>
      </x:c>
      <x:c r="AK10" s="27" t="str">
        <x:v>待N6分级</x:v>
      </x:c>
      <x:c r="AL10" s="27" t="str">
        <x:v>见文内对照；待N6标准化</x:v>
      </x:c>
      <x:c r="AM10" s="27" t="str">
        <x:v>待N6抽取</x:v>
      </x:c>
      <x:c r="AN10" s="27" t="str">
        <x:v>待N6抽取</x:v>
      </x:c>
      <x:c r="AO10" s="27" t="str">
        <x:v>待N6抽取</x:v>
      </x:c>
      <x:c r="AP10" s="27" t="str">
        <x:v>待N6抽取</x:v>
      </x:c>
      <x:c r="AQ10" s="27" t="str">
        <x:v>待N6抽取</x:v>
      </x:c>
      <x:c r="AR10" s="27" t="str">
        <x:v>效率；安全</x:v>
      </x:c>
      <x:c r="AS10" s="27" t="str">
        <x:v>原始Markdown与N2/N4派生证据可用</x:v>
      </x:c>
      <x:c r="AT10" s="27" t="str">
        <x:v>文内结论与范围见N2引用与证据状态表</x:v>
      </x:c>
      <x:c r="AU10" s="27" t="str">
        <x:v>直接：摘要/关键词；“两阶段算法”；“碰撞检测与避免”；“480”；半导体车间；文中含480任务锚点与灵敏度分析</x:v>
      </x:c>
      <x:c r="AV10" s="27" t="str">
        <x:v>泛式分类仅用于全景整理，不构成当前静态创新性判断</x:v>
      </x:c>
      <x:c r="AW10" s="27" t="str">
        <x:v>跨论文性能不可直接比较</x:v>
      </x:c>
      <x:c r="AX10" s="27" t="str">
        <x:v>算法组件已完成首轮登记；编码/解码、完整预算、重复、种子和统计字段仍须N5/N6原文精读</x:v>
      </x:c>
      <x:c r="AY10" s="27" t="str">
        <x:v>direct evidence</x:v>
      </x:c>
      <x:c r="AZ10" s="27" t="str">
        <x:v>direct</x:v>
      </x:c>
      <x:c r="BA10" s="27" t="str">
        <x:v>First-pass complete</x:v>
      </x:c>
      <x:c r="BB10" s="27" t="str">
        <x:v>OK</x:v>
      </x:c>
    </x:row>
    <x:row r="11" ht="52.79999923706055" hidden="0" customHeight="1">
      <x:c r="A11" s="27" t="str">
        <x:v>L008-E01</x:v>
      </x:c>
      <x:c r="B11" s="27" t="str">
        <x:v>L008</x:v>
      </x:c>
      <x:c r="C11" s="27" t="str">
        <x:v>B008；直接：摘要“碰撞问题和死锁问题”“启发式算法和强化学习算法”</x:v>
      </x:c>
      <x:c r="D11" s="27" t="str">
        <x:v>Original-source verified</x:v>
      </x:c>
      <x:c r="E11" s="27" t="str">
        <x:v>仓储；跨/跨</x:v>
      </x:c>
      <x:c r="F11" s="27" t="str">
        <x:v>warehouse</x:v>
      </x:c>
      <x:c r="G11" s="27" t="str">
        <x:v>combination</x:v>
      </x:c>
      <x:c r="H11" s="27" t="str">
        <x:v>AGV；路网</x:v>
      </x:c>
      <x:c r="I11" s="27" t="str">
        <x:v>路径规划；冲突控制</x:v>
      </x:c>
      <x:c r="J11" s="27" t="str">
        <x:v>安全；效率；跨类型（综述）</x:v>
      </x:c>
      <x:c r="K11" s="27" t="str">
        <x:v>路径互斥；无碰撞；死锁</x:v>
      </x:c>
      <x:c r="L11" s="27" t="str">
        <x:v>见原文；未显式报告者不补猜</x:v>
      </x:c>
      <x:c r="M11" s="27" t="str">
        <x:v>not reported</x:v>
      </x:c>
      <x:c r="N11" s="27" t="str">
        <x:v>not reported</x:v>
      </x:c>
      <x:c r="O11" s="27" t="str">
        <x:v>碰撞风险；死锁风险；拥堵</x:v>
      </x:c>
      <x:c r="P11" s="27" t="str">
        <x:v>碰撞风险；死锁风险；拥堵</x:v>
      </x:c>
      <x:c r="Q11" s="27" t="str">
        <x:v>跨/跨</x:v>
      </x:c>
      <x:c r="R11" s="27" t="str">
        <x:v>not reported</x:v>
      </x:c>
      <x:c r="S11" s="27" t="str">
        <x:v>AGV；路网</x:v>
      </x:c>
      <x:c r="T11" s="27" t="str">
        <x:v>见动态处理/恢复决策字段</x:v>
      </x:c>
      <x:c r="U11" s="27" t="str">
        <x:v>unclear</x:v>
      </x:c>
      <x:c r="V11" s="27" t="str">
        <x:v>not reported</x:v>
      </x:c>
      <x:c r="W11" s="27" t="str">
        <x:v>safety</x:v>
      </x:c>
      <x:c r="X11" s="27" t="str">
        <x:v>综述；原分类=跨类型（综述）；跨/跨</x:v>
      </x:c>
      <x:c r="Y11" s="27" t="str">
        <x:v>综述：仓库多AGV碰撞/死锁、启发式与强化学习方法</x:v>
      </x:c>
      <x:c r="Z11" s="27" t="str">
        <x:v>待N5逐篇拆分解码/环境转移</x:v>
      </x:c>
      <x:c r="AA11" s="27" t="str">
        <x:v>待N5逐篇拆分修复/冲突处理</x:v>
      </x:c>
      <x:c r="AB11" s="27" t="str">
        <x:v>待N6抽取</x:v>
      </x:c>
      <x:c r="AC11" s="27" t="str">
        <x:v>综述：仓库多AGV碰撞/死锁、启发式与强化学习方法</x:v>
      </x:c>
      <x:c r="AD11" s="27" t="str">
        <x:v>见算法名称与职责；具体插入点待N5抽取</x:v>
      </x:c>
      <x:c r="AE11" s="27" t="str">
        <x:v>综述，无统一实验协议</x:v>
      </x:c>
      <x:c r="AF11" s="27" t="str">
        <x:v>待N6抽取</x:v>
      </x:c>
      <x:c r="AG11" s="27" t="str">
        <x:v>待N6抽取</x:v>
      </x:c>
      <x:c r="AH11" s="27" t="str">
        <x:v>待N6抽取</x:v>
      </x:c>
      <x:c r="AI11" s="27" t="str">
        <x:v>待N6抽取</x:v>
      </x:c>
      <x:c r="AJ11" s="27" t="str">
        <x:v>待N6抽取</x:v>
      </x:c>
      <x:c r="AK11" s="27" t="str">
        <x:v>待N6分级</x:v>
      </x:c>
      <x:c r="AL11" s="27" t="str">
        <x:v>见文内对照；待N6标准化</x:v>
      </x:c>
      <x:c r="AM11" s="27" t="str">
        <x:v>待N6抽取</x:v>
      </x:c>
      <x:c r="AN11" s="27" t="str">
        <x:v>待N6抽取</x:v>
      </x:c>
      <x:c r="AO11" s="27" t="str">
        <x:v>待N6抽取</x:v>
      </x:c>
      <x:c r="AP11" s="27" t="str">
        <x:v>待N6抽取</x:v>
      </x:c>
      <x:c r="AQ11" s="27" t="str">
        <x:v>待N6抽取</x:v>
      </x:c>
      <x:c r="AR11" s="27" t="str">
        <x:v>安全；效率；跨类型（综述）</x:v>
      </x:c>
      <x:c r="AS11" s="27" t="str">
        <x:v>原始Markdown与N2/N4派生证据可用</x:v>
      </x:c>
      <x:c r="AT11" s="27" t="str">
        <x:v>文内结论与范围见N2引用与证据状态表</x:v>
      </x:c>
      <x:c r="AU11" s="27" t="str">
        <x:v>直接：摘要“碰撞问题和死锁问题”“启发式算法和强化学习算法”；综述，无统一实验协议</x:v>
      </x:c>
      <x:c r="AV11" s="27" t="str">
        <x:v>泛式分类仅用于全景整理，不构成当前静态创新性判断</x:v>
      </x:c>
      <x:c r="AW11" s="27" t="str">
        <x:v>跨论文性能不可直接比较</x:v>
      </x:c>
      <x:c r="AX11" s="27" t="str">
        <x:v>算法组件已完成首轮登记；编码/解码、完整预算、重复、种子和统计字段仍须N5/N6原文精读</x:v>
      </x:c>
      <x:c r="AY11" s="27" t="str">
        <x:v>direct evidence</x:v>
      </x:c>
      <x:c r="AZ11" s="27" t="str">
        <x:v>direct</x:v>
      </x:c>
      <x:c r="BA11" s="27" t="str">
        <x:v>First-pass complete</x:v>
      </x:c>
      <x:c r="BB11" s="27" t="str">
        <x:v>OK</x:v>
      </x:c>
    </x:row>
    <x:row r="12" ht="52.79999923706055" hidden="0" customHeight="1">
      <x:c r="A12" s="27" t="str">
        <x:v>L009-E01</x:v>
      </x:c>
      <x:c r="B12" s="27" t="str">
        <x:v>L009</x:v>
      </x:c>
      <x:c r="C12" s="27" t="str">
        <x:v>B009；直接：关键词；“集中式调度和分布式调度”；任务分配；路径规划；展望</x:v>
      </x:c>
      <x:c r="D12" s="27" t="str">
        <x:v>Original-source verified</x:v>
      </x:c>
      <x:c r="E12" s="27" t="str">
        <x:v>跨场景（综述）；跨/跨</x:v>
      </x:c>
      <x:c r="F12" s="27" t="str">
        <x:v>other</x:v>
      </x:c>
      <x:c r="G12" s="27" t="str">
        <x:v>combination</x:v>
      </x:c>
      <x:c r="H12" s="27" t="str">
        <x:v>任务；AGV；路网</x:v>
      </x:c>
      <x:c r="I12" s="27" t="str">
        <x:v>车辆/任务分配；路径规划；冲突控制</x:v>
      </x:c>
      <x:c r="J12" s="27" t="str">
        <x:v>效率；鲁棒性；跨类型（综述）</x:v>
      </x:c>
      <x:c r="K12" s="27" t="str">
        <x:v>分布式通信与协商；路径冲突</x:v>
      </x:c>
      <x:c r="L12" s="27" t="str">
        <x:v>见原文；未显式报告者不补猜</x:v>
      </x:c>
      <x:c r="M12" s="27" t="str">
        <x:v>not reported</x:v>
      </x:c>
      <x:c r="N12" s="27" t="str">
        <x:v>not reported</x:v>
      </x:c>
      <x:c r="O12" s="27" t="str">
        <x:v>跨类型（综述）</x:v>
      </x:c>
      <x:c r="P12" s="27" t="str">
        <x:v>跨类型（综述）</x:v>
      </x:c>
      <x:c r="Q12" s="27" t="str">
        <x:v>跨/跨</x:v>
      </x:c>
      <x:c r="R12" s="27" t="str">
        <x:v>not reported</x:v>
      </x:c>
      <x:c r="S12" s="27" t="str">
        <x:v>任务；AGV；路网</x:v>
      </x:c>
      <x:c r="T12" s="27" t="str">
        <x:v>见动态处理/恢复决策字段</x:v>
      </x:c>
      <x:c r="U12" s="27" t="str">
        <x:v>unclear</x:v>
      </x:c>
      <x:c r="V12" s="27" t="str">
        <x:v>not reported</x:v>
      </x:c>
      <x:c r="W12" s="27" t="str">
        <x:v>robustness</x:v>
      </x:c>
      <x:c r="X12" s="27" t="str">
        <x:v>综述；原分类=跨类型（综述）；跨/跨</x:v>
      </x:c>
      <x:c r="Y12" s="27" t="str">
        <x:v>综述：集中式/分布式任务分配、路径规划与协商</x:v>
      </x:c>
      <x:c r="Z12" s="27" t="str">
        <x:v>待N5逐篇拆分解码/环境转移</x:v>
      </x:c>
      <x:c r="AA12" s="27" t="str">
        <x:v>待N5逐篇拆分修复/冲突处理</x:v>
      </x:c>
      <x:c r="AB12" s="27" t="str">
        <x:v>待N6抽取</x:v>
      </x:c>
      <x:c r="AC12" s="27" t="str">
        <x:v>综述：集中式/分布式任务分配、路径规划与协商</x:v>
      </x:c>
      <x:c r="AD12" s="27" t="str">
        <x:v>见算法名称与职责；具体插入点待N5抽取</x:v>
      </x:c>
      <x:c r="AE12" s="27" t="str">
        <x:v>综述，无统一实验协议</x:v>
      </x:c>
      <x:c r="AF12" s="27" t="str">
        <x:v>待N6抽取</x:v>
      </x:c>
      <x:c r="AG12" s="27" t="str">
        <x:v>待N6抽取</x:v>
      </x:c>
      <x:c r="AH12" s="27" t="str">
        <x:v>待N6抽取</x:v>
      </x:c>
      <x:c r="AI12" s="27" t="str">
        <x:v>待N6抽取</x:v>
      </x:c>
      <x:c r="AJ12" s="27" t="str">
        <x:v>待N6抽取</x:v>
      </x:c>
      <x:c r="AK12" s="27" t="str">
        <x:v>待N6分级</x:v>
      </x:c>
      <x:c r="AL12" s="27" t="str">
        <x:v>见文内对照；待N6标准化</x:v>
      </x:c>
      <x:c r="AM12" s="27" t="str">
        <x:v>待N6抽取</x:v>
      </x:c>
      <x:c r="AN12" s="27" t="str">
        <x:v>待N6抽取</x:v>
      </x:c>
      <x:c r="AO12" s="27" t="str">
        <x:v>待N6抽取</x:v>
      </x:c>
      <x:c r="AP12" s="27" t="str">
        <x:v>待N6抽取</x:v>
      </x:c>
      <x:c r="AQ12" s="27" t="str">
        <x:v>待N6抽取</x:v>
      </x:c>
      <x:c r="AR12" s="27" t="str">
        <x:v>效率；鲁棒性；跨类型（综述）</x:v>
      </x:c>
      <x:c r="AS12" s="27" t="str">
        <x:v>原始Markdown与N2/N4派生证据可用</x:v>
      </x:c>
      <x:c r="AT12" s="27" t="str">
        <x:v>文内结论与范围见N2引用与证据状态表</x:v>
      </x:c>
      <x:c r="AU12" s="27" t="str">
        <x:v>直接：关键词；“集中式调度和分布式调度”；任务分配；路径规划；展望；综述，无统一实验协议</x:v>
      </x:c>
      <x:c r="AV12" s="27" t="str">
        <x:v>泛式分类仅用于全景整理，不构成当前静态创新性判断</x:v>
      </x:c>
      <x:c r="AW12" s="27" t="str">
        <x:v>跨论文性能不可直接比较</x:v>
      </x:c>
      <x:c r="AX12" s="27" t="str">
        <x:v>算法组件已完成首轮登记；编码/解码、完整预算、重复、种子和统计字段仍须N5/N6原文精读</x:v>
      </x:c>
      <x:c r="AY12" s="27" t="str">
        <x:v>direct evidence</x:v>
      </x:c>
      <x:c r="AZ12" s="27" t="str">
        <x:v>direct</x:v>
      </x:c>
      <x:c r="BA12" s="27" t="str">
        <x:v>First-pass complete</x:v>
      </x:c>
      <x:c r="BB12" s="27" t="str">
        <x:v>OK</x:v>
      </x:c>
    </x:row>
    <x:row r="13" ht="66" hidden="0" customHeight="1">
      <x:c r="A13" s="27" t="str">
        <x:v>L010-E01</x:v>
      </x:c>
      <x:c r="B13" s="27" t="str">
        <x:v>L010</x:v>
      </x:c>
      <x:c r="C13" s="27" t="str">
        <x:v>B010；直接：摘要；`DMA-DDQN`；多智能体；联合调度；奖励成形</x:v>
      </x:c>
      <x:c r="D13" s="27" t="str">
        <x:v>Verified</x:v>
      </x:c>
      <x:c r="E13" s="27" t="str">
        <x:v>生产车间；静/确</x:v>
      </x:c>
      <x:c r="F13" s="27" t="str">
        <x:v>workshop</x:v>
      </x:c>
      <x:c r="G13" s="27" t="str">
        <x:v>combination</x:v>
      </x:c>
      <x:c r="H13" s="27" t="str">
        <x:v>工件；机器；AGV</x:v>
      </x:c>
      <x:c r="I13" s="27" t="str">
        <x:v>工序排序；机器分配；车辆/任务分配</x:v>
      </x:c>
      <x:c r="J13" s="27" t="str">
        <x:v>效率；多目标组合</x:v>
      </x:c>
      <x:c r="K13" s="27" t="str">
        <x:v>工序优先；机器可选/占用；运输资源</x:v>
      </x:c>
      <x:c r="L13" s="27" t="str">
        <x:v>见原文；未显式报告者不补猜</x:v>
      </x:c>
      <x:c r="M13" s="27" t="str">
        <x:v>static deterministic</x:v>
      </x:c>
      <x:c r="N13" s="27" t="str">
        <x:v>offline</x:v>
      </x:c>
      <x:c r="O13" s="27" t="str">
        <x:v>无事件</x:v>
      </x:c>
      <x:c r="P13" s="27" t="str">
        <x:v>无事件</x:v>
      </x:c>
      <x:c r="Q13" s="27" t="str">
        <x:v>静/确</x:v>
      </x:c>
      <x:c r="R13" s="27" t="str">
        <x:v>not reported</x:v>
      </x:c>
      <x:c r="S13" s="27" t="str">
        <x:v>工件；机器；AGV</x:v>
      </x:c>
      <x:c r="T13" s="27" t="str">
        <x:v>见动态处理/恢复决策字段</x:v>
      </x:c>
      <x:c r="U13" s="27" t="str">
        <x:v>joint</x:v>
      </x:c>
      <x:c r="V13" s="27" t="str">
        <x:v>learning-based</x:v>
      </x:c>
      <x:c r="W13" s="27" t="str">
        <x:v>multi-objective combination</x:v>
      </x:c>
      <x:c r="X13" s="27" t="str">
        <x:v>核心车间原始研究；原分类=学习型；静/确</x:v>
      </x:c>
      <x:c r="Y13" s="27" t="str">
        <x:v>DMA-DDQN多智能体强化学习＋奖励成形</x:v>
      </x:c>
      <x:c r="Z13" s="27" t="str">
        <x:v>待N5逐篇拆分解码/环境转移</x:v>
      </x:c>
      <x:c r="AA13" s="27" t="str">
        <x:v>待N5逐篇拆分修复/冲突处理</x:v>
      </x:c>
      <x:c r="AB13" s="27" t="str">
        <x:v>待N6抽取</x:v>
      </x:c>
      <x:c r="AC13" s="27" t="str">
        <x:v>DMA-DDQN多智能体强化学习＋奖励成形</x:v>
      </x:c>
      <x:c r="AD13" s="27" t="str">
        <x:v>见算法名称与职责；具体插入点待N5抽取</x:v>
      </x:c>
      <x:c r="AE13" s="27" t="str">
        <x:v>不同规模与规则/GA/DQN对比；重复和统计待N6抽取</x:v>
      </x:c>
      <x:c r="AF13" s="27" t="str">
        <x:v>待N6抽取</x:v>
      </x:c>
      <x:c r="AG13" s="27" t="str">
        <x:v>待N6抽取</x:v>
      </x:c>
      <x:c r="AH13" s="27" t="str">
        <x:v>待N6抽取</x:v>
      </x:c>
      <x:c r="AI13" s="27" t="str">
        <x:v>待N6抽取</x:v>
      </x:c>
      <x:c r="AJ13" s="27" t="str">
        <x:v>待N6抽取</x:v>
      </x:c>
      <x:c r="AK13" s="27" t="str">
        <x:v>待N6分级</x:v>
      </x:c>
      <x:c r="AL13" s="27" t="str">
        <x:v>见文内对照；待N6标准化</x:v>
      </x:c>
      <x:c r="AM13" s="27" t="str">
        <x:v>待N6抽取</x:v>
      </x:c>
      <x:c r="AN13" s="27" t="str">
        <x:v>待N6抽取</x:v>
      </x:c>
      <x:c r="AO13" s="27" t="str">
        <x:v>待N6抽取</x:v>
      </x:c>
      <x:c r="AP13" s="27" t="str">
        <x:v>待N6抽取</x:v>
      </x:c>
      <x:c r="AQ13" s="27" t="str">
        <x:v>待N6抽取</x:v>
      </x:c>
      <x:c r="AR13" s="27" t="str">
        <x:v>效率；多目标组合</x:v>
      </x:c>
      <x:c r="AS13" s="27" t="str">
        <x:v>原始Markdown与N2/N4派生证据可用</x:v>
      </x:c>
      <x:c r="AT13" s="27" t="str">
        <x:v>文内结论与范围见N2引用与证据状态表</x:v>
      </x:c>
      <x:c r="AU13" s="27" t="str">
        <x:v>直接：摘要；`DMA-DDQN`；多智能体；联合调度；奖励成形；不同规模与规则/GA/DQN对比；重复和统计待N6抽取</x:v>
      </x:c>
      <x:c r="AV13" s="27" t="str">
        <x:v>泛式分类仅用于全景整理，不构成当前静态创新性判断</x:v>
      </x:c>
      <x:c r="AW13" s="27" t="str">
        <x:v>跨论文性能不可直接比较</x:v>
      </x:c>
      <x:c r="AX13" s="27" t="str">
        <x:v>算法组件已完成首轮登记；编码/解码、完整预算、重复、种子和统计字段仍须N5/N6原文精读</x:v>
      </x:c>
      <x:c r="AY13" s="27" t="str">
        <x:v>direct evidence</x:v>
      </x:c>
      <x:c r="AZ13" s="27" t="str">
        <x:v>direct</x:v>
      </x:c>
      <x:c r="BA13" s="27" t="str">
        <x:v>First-pass complete</x:v>
      </x:c>
      <x:c r="BB13" s="27" t="str">
        <x:v>OK</x:v>
      </x:c>
    </x:row>
    <x:row r="14" ht="52.79999923706055" hidden="0" customHeight="1">
      <x:c r="A14" s="27" t="str">
        <x:v>L011-E01</x:v>
      </x:c>
      <x:c r="B14" s="27" t="str">
        <x:v>L011</x:v>
      </x:c>
      <x:c r="C14" s="27" t="str">
        <x:v>B011；直接：题名/关键词；数学模型；编码；FT06/FT10；Conclusion</x:v>
      </x:c>
      <x:c r="D14" s="27" t="str">
        <x:v>Original-source verified</x:v>
      </x:c>
      <x:c r="E14" s="27" t="str">
        <x:v>生产车间；静/确</x:v>
      </x:c>
      <x:c r="F14" s="27" t="str">
        <x:v>workshop</x:v>
      </x:c>
      <x:c r="G14" s="27" t="str">
        <x:v>combination</x:v>
      </x:c>
      <x:c r="H14" s="27" t="str">
        <x:v>工件；机器；AGV</x:v>
      </x:c>
      <x:c r="I14" s="27" t="str">
        <x:v>工序排序；机器分配；车辆/任务分配；运输排序</x:v>
      </x:c>
      <x:c r="J14" s="27" t="str">
        <x:v>效率；稳定性</x:v>
      </x:c>
      <x:c r="K14" s="27" t="str">
        <x:v>工序优先；机器/车辆占用；运输时间</x:v>
      </x:c>
      <x:c r="L14" s="27" t="str">
        <x:v>见原文；未显式报告者不补猜</x:v>
      </x:c>
      <x:c r="M14" s="27" t="str">
        <x:v>static deterministic</x:v>
      </x:c>
      <x:c r="N14" s="27" t="str">
        <x:v>offline</x:v>
      </x:c>
      <x:c r="O14" s="27" t="str">
        <x:v>无事件</x:v>
      </x:c>
      <x:c r="P14" s="27" t="str">
        <x:v>无事件</x:v>
      </x:c>
      <x:c r="Q14" s="27" t="str">
        <x:v>静/确</x:v>
      </x:c>
      <x:c r="R14" s="27" t="str">
        <x:v>not reported</x:v>
      </x:c>
      <x:c r="S14" s="27" t="str">
        <x:v>工件；机器；AGV</x:v>
      </x:c>
      <x:c r="T14" s="27" t="str">
        <x:v>见动态处理/恢复决策字段</x:v>
      </x:c>
      <x:c r="U14" s="27" t="str">
        <x:v>joint</x:v>
      </x:c>
      <x:c r="V14" s="27" t="str">
        <x:v>metaheuristic</x:v>
      </x:c>
      <x:c r="W14" s="27" t="str">
        <x:v>robustness</x:v>
      </x:c>
      <x:c r="X14" s="27" t="str">
        <x:v>核心车间原始研究；原分类=元启发式；静/确</x:v>
      </x:c>
      <x:c r="Y14" s="27" t="str">
        <x:v>改进花授粉算法IFPA＋CSM/PCA机制</x:v>
      </x:c>
      <x:c r="Z14" s="27" t="str">
        <x:v>待N5逐篇拆分解码/环境转移</x:v>
      </x:c>
      <x:c r="AA14" s="27" t="str">
        <x:v>待N5逐篇拆分修复/冲突处理</x:v>
      </x:c>
      <x:c r="AB14" s="27" t="str">
        <x:v>待N6抽取</x:v>
      </x:c>
      <x:c r="AC14" s="27" t="str">
        <x:v>改进花授粉算法IFPA＋CSM/PCA机制</x:v>
      </x:c>
      <x:c r="AD14" s="27" t="str">
        <x:v>见算法名称与职责；具体插入点待N5抽取</x:v>
      </x:c>
      <x:c r="AE14" s="27" t="str">
        <x:v>FT06、FT10与平台实验；精度/稳定性文内比较</x:v>
      </x:c>
      <x:c r="AF14" s="27" t="str">
        <x:v>待N6抽取</x:v>
      </x:c>
      <x:c r="AG14" s="27" t="str">
        <x:v>待N6抽取</x:v>
      </x:c>
      <x:c r="AH14" s="27" t="str">
        <x:v>待N6抽取</x:v>
      </x:c>
      <x:c r="AI14" s="27" t="str">
        <x:v>待N6抽取</x:v>
      </x:c>
      <x:c r="AJ14" s="27" t="str">
        <x:v>待N6抽取</x:v>
      </x:c>
      <x:c r="AK14" s="27" t="str">
        <x:v>待N6分级</x:v>
      </x:c>
      <x:c r="AL14" s="27" t="str">
        <x:v>见文内对照；待N6标准化</x:v>
      </x:c>
      <x:c r="AM14" s="27" t="str">
        <x:v>待N6抽取</x:v>
      </x:c>
      <x:c r="AN14" s="27" t="str">
        <x:v>待N6抽取</x:v>
      </x:c>
      <x:c r="AO14" s="27" t="str">
        <x:v>待N6抽取</x:v>
      </x:c>
      <x:c r="AP14" s="27" t="str">
        <x:v>待N6抽取</x:v>
      </x:c>
      <x:c r="AQ14" s="27" t="str">
        <x:v>待N6抽取</x:v>
      </x:c>
      <x:c r="AR14" s="27" t="str">
        <x:v>效率；稳定性</x:v>
      </x:c>
      <x:c r="AS14" s="27" t="str">
        <x:v>原始Markdown与N2/N4派生证据可用</x:v>
      </x:c>
      <x:c r="AT14" s="27" t="str">
        <x:v>文内结论与范围见N2引用与证据状态表</x:v>
      </x:c>
      <x:c r="AU14" s="27" t="str">
        <x:v>直接：题名/关键词；数学模型；编码；FT06/FT10；Conclusion；FT06、FT10与平台实验；精度/稳定性文内比较</x:v>
      </x:c>
      <x:c r="AV14" s="27" t="str">
        <x:v>泛式分类仅用于全景整理，不构成当前静态创新性判断</x:v>
      </x:c>
      <x:c r="AW14" s="27" t="str">
        <x:v>跨论文性能不可直接比较</x:v>
      </x:c>
      <x:c r="AX14" s="27" t="str">
        <x:v>算法组件已完成首轮登记；编码/解码、完整预算、重复、种子和统计字段仍须N5/N6原文精读</x:v>
      </x:c>
      <x:c r="AY14" s="27" t="str">
        <x:v>direct evidence</x:v>
      </x:c>
      <x:c r="AZ14" s="27" t="str">
        <x:v>direct</x:v>
      </x:c>
      <x:c r="BA14" s="27" t="str">
        <x:v>First-pass complete</x:v>
      </x:c>
      <x:c r="BB14" s="27" t="str">
        <x:v>OK</x:v>
      </x:c>
    </x:row>
    <x:row r="15" ht="66" hidden="0" customHeight="1">
      <x:c r="A15" s="27" t="str">
        <x:v>L012-E01</x:v>
      </x:c>
      <x:c r="B15" s="27" t="str">
        <x:v>L012</x:v>
      </x:c>
      <x:c r="C15" s="27" t="str">
        <x:v>B012；直接：摘要；“多步长动作”“动态奖励”；单车路径与多任务实验；随机性未见报告</x:v>
      </x:c>
      <x:c r="D15" s="27" t="str">
        <x:v>Verified</x:v>
      </x:c>
      <x:c r="E15" s="27" t="str">
        <x:v>通用运输（具体行业未报告）；静/确</x:v>
      </x:c>
      <x:c r="F15" s="27" t="str">
        <x:v>transport</x:v>
      </x:c>
      <x:c r="G15" s="27" t="str">
        <x:v>combination</x:v>
      </x:c>
      <x:c r="H15" s="27" t="str">
        <x:v>任务；AGV；路网</x:v>
      </x:c>
      <x:c r="I15" s="27" t="str">
        <x:v>车辆/任务分配；路径规划</x:v>
      </x:c>
      <x:c r="J15" s="27" t="str">
        <x:v>效率；计算成本</x:v>
      </x:c>
      <x:c r="K15" s="27" t="str">
        <x:v>路径可行；多任务；动作步长</x:v>
      </x:c>
      <x:c r="L15" s="27" t="str">
        <x:v>见原文；未显式报告者不补猜</x:v>
      </x:c>
      <x:c r="M15" s="27" t="str">
        <x:v>static deterministic</x:v>
      </x:c>
      <x:c r="N15" s="27" t="str">
        <x:v>offline</x:v>
      </x:c>
      <x:c r="O15" s="27" t="str">
        <x:v>路径绕行/冲突风险</x:v>
      </x:c>
      <x:c r="P15" s="27" t="str">
        <x:v>路径绕行/冲突风险</x:v>
      </x:c>
      <x:c r="Q15" s="27" t="str">
        <x:v>静/确</x:v>
      </x:c>
      <x:c r="R15" s="27" t="str">
        <x:v>not reported</x:v>
      </x:c>
      <x:c r="S15" s="27" t="str">
        <x:v>任务；AGV；路网</x:v>
      </x:c>
      <x:c r="T15" s="27" t="str">
        <x:v>见动态处理/恢复决策字段</x:v>
      </x:c>
      <x:c r="U15" s="27" t="str">
        <x:v>hierarchical</x:v>
      </x:c>
      <x:c r="V15" s="27" t="str">
        <x:v>learning-based</x:v>
      </x:c>
      <x:c r="W15" s="27" t="str">
        <x:v>computational cost</x:v>
      </x:c>
      <x:c r="X15" s="27" t="str">
        <x:v>路径/任务相邻研究；原分类=学习型；静/确</x:v>
      </x:c>
      <x:c r="Y15" s="27" t="str">
        <x:v>改进PPO＋多步长动作＋动态奖励</x:v>
      </x:c>
      <x:c r="Z15" s="27" t="str">
        <x:v>待N5逐篇拆分解码/环境转移</x:v>
      </x:c>
      <x:c r="AA15" s="27" t="str">
        <x:v>待N5逐篇拆分修复/冲突处理</x:v>
      </x:c>
      <x:c r="AB15" s="27" t="str">
        <x:v>待N6抽取</x:v>
      </x:c>
      <x:c r="AC15" s="27" t="str">
        <x:v>改进PPO＋多步长动作＋动态奖励</x:v>
      </x:c>
      <x:c r="AD15" s="27" t="str">
        <x:v>见算法名称与职责；具体插入点待N5抽取</x:v>
      </x:c>
      <x:c r="AE15" s="27" t="str">
        <x:v>单车路径与多任务实验；距离和收敛效率</x:v>
      </x:c>
      <x:c r="AF15" s="27" t="str">
        <x:v>待N6抽取</x:v>
      </x:c>
      <x:c r="AG15" s="27" t="str">
        <x:v>待N6抽取</x:v>
      </x:c>
      <x:c r="AH15" s="27" t="str">
        <x:v>待N6抽取</x:v>
      </x:c>
      <x:c r="AI15" s="27" t="str">
        <x:v>待N6抽取</x:v>
      </x:c>
      <x:c r="AJ15" s="27" t="str">
        <x:v>待N6抽取</x:v>
      </x:c>
      <x:c r="AK15" s="27" t="str">
        <x:v>待N6分级</x:v>
      </x:c>
      <x:c r="AL15" s="27" t="str">
        <x:v>见文内对照；待N6标准化</x:v>
      </x:c>
      <x:c r="AM15" s="27" t="str">
        <x:v>待N6抽取</x:v>
      </x:c>
      <x:c r="AN15" s="27" t="str">
        <x:v>待N6抽取</x:v>
      </x:c>
      <x:c r="AO15" s="27" t="str">
        <x:v>待N6抽取</x:v>
      </x:c>
      <x:c r="AP15" s="27" t="str">
        <x:v>待N6抽取</x:v>
      </x:c>
      <x:c r="AQ15" s="27" t="str">
        <x:v>待N6抽取</x:v>
      </x:c>
      <x:c r="AR15" s="27" t="str">
        <x:v>效率；计算成本</x:v>
      </x:c>
      <x:c r="AS15" s="27" t="str">
        <x:v>原始Markdown与N2/N4派生证据可用</x:v>
      </x:c>
      <x:c r="AT15" s="27" t="str">
        <x:v>文内结论与范围见N2引用与证据状态表</x:v>
      </x:c>
      <x:c r="AU15" s="27" t="str">
        <x:v>直接：摘要；“多步长动作”“动态奖励”；单车路径与多任务实验；随机性未见报告；单车路径与多任务实验；距离和收敛效率</x:v>
      </x:c>
      <x:c r="AV15" s="27" t="str">
        <x:v>泛式分类仅用于全景整理，不构成当前静态创新性判断</x:v>
      </x:c>
      <x:c r="AW15" s="27" t="str">
        <x:v>跨论文性能不可直接比较</x:v>
      </x:c>
      <x:c r="AX15" s="27" t="str">
        <x:v>算法组件已完成首轮登记；编码/解码、完整预算、重复、种子和统计字段仍须N5/N6原文精读</x:v>
      </x:c>
      <x:c r="AY15" s="27" t="str">
        <x:v>direct evidence</x:v>
      </x:c>
      <x:c r="AZ15" s="27" t="str">
        <x:v>direct</x:v>
      </x:c>
      <x:c r="BA15" s="27" t="str">
        <x:v>First-pass complete</x:v>
      </x:c>
      <x:c r="BB15" s="27" t="str">
        <x:v>OK</x:v>
      </x:c>
    </x:row>
    <x:row r="16" ht="52.79999923706055" hidden="0" customHeight="1">
      <x:c r="A16" s="27" t="str">
        <x:v>L013-E01</x:v>
      </x:c>
      <x:c r="B16" s="27" t="str">
        <x:v>L013</x:v>
      </x:c>
      <x:c r="C16" s="27" t="str">
        <x:v>B013；直接：摘要“网格地图”“防冲突路径规划”“最大完工时间”</x:v>
      </x:c>
      <x:c r="D16" s="27" t="str">
        <x:v>Original-source verified</x:v>
      </x:c>
      <x:c r="E16" s="27" t="str">
        <x:v>自动化码头；静/确</x:v>
      </x:c>
      <x:c r="F16" s="27" t="str">
        <x:v>terminal</x:v>
      </x:c>
      <x:c r="G16" s="27" t="str">
        <x:v>combination</x:v>
      </x:c>
      <x:c r="H16" s="27" t="str">
        <x:v>集装箱任务；AGV；路网</x:v>
      </x:c>
      <x:c r="I16" s="27" t="str">
        <x:v>路径规划；冲突控制</x:v>
      </x:c>
      <x:c r="J16" s="27" t="str">
        <x:v>效率；稳定性；安全</x:v>
      </x:c>
      <x:c r="K16" s="27" t="str">
        <x:v>双向引导车道；路径互斥；无碰撞</x:v>
      </x:c>
      <x:c r="L16" s="27" t="str">
        <x:v>见原文；未显式报告者不补猜</x:v>
      </x:c>
      <x:c r="M16" s="27" t="str">
        <x:v>static deterministic</x:v>
      </x:c>
      <x:c r="N16" s="27" t="str">
        <x:v>offline</x:v>
      </x:c>
      <x:c r="O16" s="27" t="str">
        <x:v>碰撞风险</x:v>
      </x:c>
      <x:c r="P16" s="27" t="str">
        <x:v>碰撞风险</x:v>
      </x:c>
      <x:c r="Q16" s="27" t="str">
        <x:v>静/确</x:v>
      </x:c>
      <x:c r="R16" s="27" t="str">
        <x:v>not reported</x:v>
      </x:c>
      <x:c r="S16" s="27" t="str">
        <x:v>集装箱任务；AGV；路网</x:v>
      </x:c>
      <x:c r="T16" s="27" t="str">
        <x:v>见动态处理/恢复决策字段</x:v>
      </x:c>
      <x:c r="U16" s="27" t="str">
        <x:v>unclear</x:v>
      </x:c>
      <x:c r="V16" s="27" t="str">
        <x:v>learning-based</x:v>
      </x:c>
      <x:c r="W16" s="27" t="str">
        <x:v>safety</x:v>
      </x:c>
      <x:c r="X16" s="27" t="str">
        <x:v>路径/任务相邻研究；原分类=学习型；静/确</x:v>
      </x:c>
      <x:c r="Y16" s="27" t="str">
        <x:v>改进PPO防绕远与防冲突路径规划</x:v>
      </x:c>
      <x:c r="Z16" s="27" t="str">
        <x:v>待N5逐篇拆分解码/环境转移</x:v>
      </x:c>
      <x:c r="AA16" s="27" t="str">
        <x:v>待N5逐篇拆分修复/冲突处理</x:v>
      </x:c>
      <x:c r="AB16" s="27" t="str">
        <x:v>待N6抽取</x:v>
      </x:c>
      <x:c r="AC16" s="27" t="str">
        <x:v>改进PPO防绕远与防冲突路径规划</x:v>
      </x:c>
      <x:c r="AD16" s="27" t="str">
        <x:v>见算法名称与职责；具体插入点待N5抽取</x:v>
      </x:c>
      <x:c r="AE16" s="27" t="str">
        <x:v>码头网格与规模实验；求解速度和路径指标</x:v>
      </x:c>
      <x:c r="AF16" s="27" t="str">
        <x:v>待N6抽取</x:v>
      </x:c>
      <x:c r="AG16" s="27" t="str">
        <x:v>待N6抽取</x:v>
      </x:c>
      <x:c r="AH16" s="27" t="str">
        <x:v>待N6抽取</x:v>
      </x:c>
      <x:c r="AI16" s="27" t="str">
        <x:v>待N6抽取</x:v>
      </x:c>
      <x:c r="AJ16" s="27" t="str">
        <x:v>待N6抽取</x:v>
      </x:c>
      <x:c r="AK16" s="27" t="str">
        <x:v>待N6分级</x:v>
      </x:c>
      <x:c r="AL16" s="27" t="str">
        <x:v>见文内对照；待N6标准化</x:v>
      </x:c>
      <x:c r="AM16" s="27" t="str">
        <x:v>待N6抽取</x:v>
      </x:c>
      <x:c r="AN16" s="27" t="str">
        <x:v>待N6抽取</x:v>
      </x:c>
      <x:c r="AO16" s="27" t="str">
        <x:v>待N6抽取</x:v>
      </x:c>
      <x:c r="AP16" s="27" t="str">
        <x:v>待N6抽取</x:v>
      </x:c>
      <x:c r="AQ16" s="27" t="str">
        <x:v>待N6抽取</x:v>
      </x:c>
      <x:c r="AR16" s="27" t="str">
        <x:v>效率；稳定性；安全</x:v>
      </x:c>
      <x:c r="AS16" s="27" t="str">
        <x:v>原始Markdown与N2/N4派生证据可用</x:v>
      </x:c>
      <x:c r="AT16" s="27" t="str">
        <x:v>文内结论与范围见N2引用与证据状态表</x:v>
      </x:c>
      <x:c r="AU16" s="27" t="str">
        <x:v>直接：摘要“网格地图”“防冲突路径规划”“最大完工时间”；码头网格与规模实验；求解速度和路径指标</x:v>
      </x:c>
      <x:c r="AV16" s="27" t="str">
        <x:v>泛式分类仅用于全景整理，不构成当前静态创新性判断</x:v>
      </x:c>
      <x:c r="AW16" s="27" t="str">
        <x:v>跨论文性能不可直接比较</x:v>
      </x:c>
      <x:c r="AX16" s="27" t="str">
        <x:v>算法组件已完成首轮登记；编码/解码、完整预算、重复、种子和统计字段仍须N5/N6原文精读</x:v>
      </x:c>
      <x:c r="AY16" s="27" t="str">
        <x:v>direct evidence</x:v>
      </x:c>
      <x:c r="AZ16" s="27" t="str">
        <x:v>direct</x:v>
      </x:c>
      <x:c r="BA16" s="27" t="str">
        <x:v>First-pass complete</x:v>
      </x:c>
      <x:c r="BB16" s="27" t="str">
        <x:v>OK</x:v>
      </x:c>
    </x:row>
    <x:row r="17" ht="66" hidden="0" customHeight="1">
      <x:c r="A17" s="27" t="str">
        <x:v>L014-E01</x:v>
      </x:c>
      <x:c r="B17" s="27" t="str">
        <x:v>L014</x:v>
      </x:c>
      <x:c r="C17" s="27" t="str">
        <x:v>B014；直接：摘要；YOLOv8；PPO-LSTM；“个人空间”；限制：行人运动随机模型当前不清楚</x:v>
      </x:c>
      <x:c r="D17" s="27" t="str">
        <x:v>Original-source verified</x:v>
      </x:c>
      <x:c r="E17" s="27" t="str">
        <x:v>人机共融（智能工厂）；动/不清楚</x:v>
      </x:c>
      <x:c r="F17" s="27" t="str">
        <x:v>other</x:v>
      </x:c>
      <x:c r="G17" s="27" t="str">
        <x:v>combination</x:v>
      </x:c>
      <x:c r="H17" s="27" t="str">
        <x:v>AGV；行人；视觉环境</x:v>
      </x:c>
      <x:c r="I17" s="27" t="str">
        <x:v>冲突控制；速度决策</x:v>
      </x:c>
      <x:c r="J17" s="27" t="str">
        <x:v>安全；效率</x:v>
      </x:c>
      <x:c r="K17" s="27" t="str">
        <x:v>人身安全距离；无碰撞；无地图视觉输入</x:v>
      </x:c>
      <x:c r="L17" s="27" t="str">
        <x:v>见原文；未显式报告者不补猜</x:v>
      </x:c>
      <x:c r="M17" s="27" t="str">
        <x:v>other</x:v>
      </x:c>
      <x:c r="N17" s="27" t="str">
        <x:v>online</x:v>
      </x:c>
      <x:c r="O17" s="27" t="str">
        <x:v>动态障碍/行人；碰撞风险</x:v>
      </x:c>
      <x:c r="P17" s="27" t="str">
        <x:v>动态障碍/行人；碰撞风险</x:v>
      </x:c>
      <x:c r="Q17" s="27" t="str">
        <x:v>动/不清楚</x:v>
      </x:c>
      <x:c r="R17" s="27" t="str">
        <x:v>not reported</x:v>
      </x:c>
      <x:c r="S17" s="27" t="str">
        <x:v>AGV；行人；视觉环境</x:v>
      </x:c>
      <x:c r="T17" s="27" t="str">
        <x:v>见动态处理/恢复决策字段</x:v>
      </x:c>
      <x:c r="U17" s="27" t="str">
        <x:v>unclear</x:v>
      </x:c>
      <x:c r="V17" s="27" t="str">
        <x:v>learning-based</x:v>
      </x:c>
      <x:c r="W17" s="27" t="str">
        <x:v>safety</x:v>
      </x:c>
      <x:c r="X17" s="27" t="str">
        <x:v>路径/任务相邻研究；原分类=学习型；动/不清楚</x:v>
      </x:c>
      <x:c r="Y17" s="27" t="str">
        <x:v>YOLOv8感知＋PPO-LSTM避让控制</x:v>
      </x:c>
      <x:c r="Z17" s="27" t="str">
        <x:v>待N5逐篇拆分解码/环境转移</x:v>
      </x:c>
      <x:c r="AA17" s="27" t="str">
        <x:v>待N5逐篇拆分修复/冲突处理</x:v>
      </x:c>
      <x:c r="AB17" s="27" t="str">
        <x:v>待N6抽取</x:v>
      </x:c>
      <x:c r="AC17" s="27" t="str">
        <x:v>YOLOv8感知＋PPO-LSTM避让控制</x:v>
      </x:c>
      <x:c r="AD17" s="27" t="str">
        <x:v>见算法名称与职责；具体插入点待N5抽取</x:v>
      </x:c>
      <x:c r="AE17" s="27" t="str">
        <x:v>仿真实验；安全距离与效率指标</x:v>
      </x:c>
      <x:c r="AF17" s="27" t="str">
        <x:v>待N6抽取</x:v>
      </x:c>
      <x:c r="AG17" s="27" t="str">
        <x:v>待N6抽取</x:v>
      </x:c>
      <x:c r="AH17" s="27" t="str">
        <x:v>待N6抽取</x:v>
      </x:c>
      <x:c r="AI17" s="27" t="str">
        <x:v>待N6抽取</x:v>
      </x:c>
      <x:c r="AJ17" s="27" t="str">
        <x:v>待N6抽取</x:v>
      </x:c>
      <x:c r="AK17" s="27" t="str">
        <x:v>待N6分级</x:v>
      </x:c>
      <x:c r="AL17" s="27" t="str">
        <x:v>见文内对照；待N6标准化</x:v>
      </x:c>
      <x:c r="AM17" s="27" t="str">
        <x:v>待N6抽取</x:v>
      </x:c>
      <x:c r="AN17" s="27" t="str">
        <x:v>待N6抽取</x:v>
      </x:c>
      <x:c r="AO17" s="27" t="str">
        <x:v>待N6抽取</x:v>
      </x:c>
      <x:c r="AP17" s="27" t="str">
        <x:v>待N6抽取</x:v>
      </x:c>
      <x:c r="AQ17" s="27" t="str">
        <x:v>待N6抽取</x:v>
      </x:c>
      <x:c r="AR17" s="27" t="str">
        <x:v>安全；效率</x:v>
      </x:c>
      <x:c r="AS17" s="27" t="str">
        <x:v>原始Markdown与N2/N4派生证据可用</x:v>
      </x:c>
      <x:c r="AT17" s="27" t="str">
        <x:v>文内结论与范围见N2引用与证据状态表</x:v>
      </x:c>
      <x:c r="AU17" s="27" t="str">
        <x:v>直接：摘要；YOLOv8；PPO-LSTM；“个人空间”；限制：行人运动随机模型当前不清楚；仿真实验；安全距离与效率指标</x:v>
      </x:c>
      <x:c r="AV17" s="27" t="str">
        <x:v>泛式分类仅用于全景整理，不构成当前静态创新性判断</x:v>
      </x:c>
      <x:c r="AW17" s="27" t="str">
        <x:v>随机性/事件生成机制不完整</x:v>
      </x:c>
      <x:c r="AX17" s="27" t="str">
        <x:v>算法组件已完成首轮登记；编码/解码、完整预算、重复、种子和统计字段仍须N5/N6原文精读</x:v>
      </x:c>
      <x:c r="AY17" s="27" t="str">
        <x:v>direct evidence</x:v>
      </x:c>
      <x:c r="AZ17" s="27" t="str">
        <x:v>direct</x:v>
      </x:c>
      <x:c r="BA17" s="27" t="str">
        <x:v>First-pass complete</x:v>
      </x:c>
      <x:c r="BB17" s="27" t="str">
        <x:v>OK</x:v>
      </x:c>
    </x:row>
    <x:row r="18" ht="52.79999923706055" hidden="0" customHeight="1">
      <x:c r="A18" s="27" t="str">
        <x:v>L015-E01</x:v>
      </x:c>
      <x:c r="B18" s="27" t="str">
        <x:v>L015</x:v>
      </x:c>
      <x:c r="C18" s="27" t="str">
        <x:v>B015；直接：摘要“工件智能体”“小车智能体”“交互”“小车位置”</x:v>
      </x:c>
      <x:c r="D18" s="27" t="str">
        <x:v>Original-source verified</x:v>
      </x:c>
      <x:c r="E18" s="27" t="str">
        <x:v>生产车间（离散制造）；静/确</x:v>
      </x:c>
      <x:c r="F18" s="27" t="str">
        <x:v>workshop</x:v>
      </x:c>
      <x:c r="G18" s="27" t="str">
        <x:v>combination</x:v>
      </x:c>
      <x:c r="H18" s="27" t="str">
        <x:v>工件；机器；AGV</x:v>
      </x:c>
      <x:c r="I18" s="27" t="str">
        <x:v>工序排序；机器分配；车辆/任务分配</x:v>
      </x:c>
      <x:c r="J18" s="27" t="str">
        <x:v>效率；负载均衡；多目标组合</x:v>
      </x:c>
      <x:c r="K18" s="27" t="str">
        <x:v>工序优先；机器布局；运输时间；车辆位置；规定到达时点</x:v>
      </x:c>
      <x:c r="L18" s="27" t="str">
        <x:v>见原文；未显式报告者不补猜</x:v>
      </x:c>
      <x:c r="M18" s="27" t="str">
        <x:v>static deterministic</x:v>
      </x:c>
      <x:c r="N18" s="27" t="str">
        <x:v>offline</x:v>
      </x:c>
      <x:c r="O18" s="27" t="str">
        <x:v>无事件</x:v>
      </x:c>
      <x:c r="P18" s="27" t="str">
        <x:v>无事件</x:v>
      </x:c>
      <x:c r="Q18" s="27" t="str">
        <x:v>静/确</x:v>
      </x:c>
      <x:c r="R18" s="27" t="str">
        <x:v>not reported</x:v>
      </x:c>
      <x:c r="S18" s="27" t="str">
        <x:v>工件；机器；AGV</x:v>
      </x:c>
      <x:c r="T18" s="27" t="str">
        <x:v>见动态处理/恢复决策字段</x:v>
      </x:c>
      <x:c r="U18" s="27" t="str">
        <x:v>hierarchical</x:v>
      </x:c>
      <x:c r="V18" s="27" t="str">
        <x:v>learning-based</x:v>
      </x:c>
      <x:c r="W18" s="27" t="str">
        <x:v>multi-objective combination</x:v>
      </x:c>
      <x:c r="X18" s="27" t="str">
        <x:v>核心车间原始研究；原分类=学习型；静/确</x:v>
      </x:c>
      <x:c r="Y18" s="27" t="str">
        <x:v>工件智能体DQN＋AGV智能体DQN交互调度</x:v>
      </x:c>
      <x:c r="Z18" s="27" t="str">
        <x:v>待N5逐篇拆分解码/环境转移</x:v>
      </x:c>
      <x:c r="AA18" s="27" t="str">
        <x:v>待N5逐篇拆分修复/冲突处理</x:v>
      </x:c>
      <x:c r="AB18" s="27" t="str">
        <x:v>待N6抽取</x:v>
      </x:c>
      <x:c r="AC18" s="27" t="str">
        <x:v>工件智能体DQN＋AGV智能体DQN交互调度</x:v>
      </x:c>
      <x:c r="AD18" s="27" t="str">
        <x:v>见算法名称与职责；具体插入点待N5抽取</x:v>
      </x:c>
      <x:c r="AE18" s="27" t="str">
        <x:v>离散制造案例；综合调度与负载指标</x:v>
      </x:c>
      <x:c r="AF18" s="27" t="str">
        <x:v>待N6抽取</x:v>
      </x:c>
      <x:c r="AG18" s="27" t="str">
        <x:v>待N6抽取</x:v>
      </x:c>
      <x:c r="AH18" s="27" t="str">
        <x:v>待N6抽取</x:v>
      </x:c>
      <x:c r="AI18" s="27" t="str">
        <x:v>待N6抽取</x:v>
      </x:c>
      <x:c r="AJ18" s="27" t="str">
        <x:v>待N6抽取</x:v>
      </x:c>
      <x:c r="AK18" s="27" t="str">
        <x:v>待N6分级</x:v>
      </x:c>
      <x:c r="AL18" s="27" t="str">
        <x:v>见文内对照；待N6标准化</x:v>
      </x:c>
      <x:c r="AM18" s="27" t="str">
        <x:v>待N6抽取</x:v>
      </x:c>
      <x:c r="AN18" s="27" t="str">
        <x:v>待N6抽取</x:v>
      </x:c>
      <x:c r="AO18" s="27" t="str">
        <x:v>待N6抽取</x:v>
      </x:c>
      <x:c r="AP18" s="27" t="str">
        <x:v>待N6抽取</x:v>
      </x:c>
      <x:c r="AQ18" s="27" t="str">
        <x:v>待N6抽取</x:v>
      </x:c>
      <x:c r="AR18" s="27" t="str">
        <x:v>效率；负载均衡；多目标组合</x:v>
      </x:c>
      <x:c r="AS18" s="27" t="str">
        <x:v>原始Markdown与N2/N4派生证据可用</x:v>
      </x:c>
      <x:c r="AT18" s="27" t="str">
        <x:v>文内结论与范围见N2引用与证据状态表</x:v>
      </x:c>
      <x:c r="AU18" s="27" t="str">
        <x:v>直接：摘要“工件智能体”“小车智能体”“交互”“小车位置”；离散制造案例；综合调度与负载指标</x:v>
      </x:c>
      <x:c r="AV18" s="27" t="str">
        <x:v>泛式分类仅用于全景整理，不构成当前静态创新性判断</x:v>
      </x:c>
      <x:c r="AW18" s="27" t="str">
        <x:v>跨论文性能不可直接比较</x:v>
      </x:c>
      <x:c r="AX18" s="27" t="str">
        <x:v>算法组件已完成首轮登记；编码/解码、完整预算、重复、种子和统计字段仍须N5/N6原文精读</x:v>
      </x:c>
      <x:c r="AY18" s="27" t="str">
        <x:v>direct evidence</x:v>
      </x:c>
      <x:c r="AZ18" s="27" t="str">
        <x:v>direct</x:v>
      </x:c>
      <x:c r="BA18" s="27" t="str">
        <x:v>First-pass complete</x:v>
      </x:c>
      <x:c r="BB18" s="27" t="str">
        <x:v>OK</x:v>
      </x:c>
    </x:row>
    <x:row r="19" ht="66" hidden="0" customHeight="1">
      <x:c r="A19" s="27" t="str">
        <x:v>L016-E01</x:v>
      </x:c>
      <x:c r="B19" s="27" t="str">
        <x:v>L016</x:v>
      </x:c>
      <x:c r="C19" s="27" t="str">
        <x:v>B016；直接：摘要“工件动态到达”“工时不确定”“右移/完全重调度”“时间窗”；限制：转换文本存在缺字</x:v>
      </x:c>
      <x:c r="D19" s="27" t="str">
        <x:v>Verified</x:v>
      </x:c>
      <x:c r="E19" s="27" t="str">
        <x:v>生产车间；动/随</x:v>
      </x:c>
      <x:c r="F19" s="27" t="str">
        <x:v>workshop</x:v>
      </x:c>
      <x:c r="G19" s="27" t="str">
        <x:v>combination</x:v>
      </x:c>
      <x:c r="H19" s="27" t="str">
        <x:v>工件；机器；AGV；路网</x:v>
      </x:c>
      <x:c r="I19" s="27" t="str">
        <x:v>工序排序；机器分配；车辆/任务分配；路径规划；冲突控制；恢复决策</x:v>
      </x:c>
      <x:c r="J19" s="27" t="str">
        <x:v>效率；稳定性；多目标组合</x:v>
      </x:c>
      <x:c r="K19" s="27" t="str">
        <x:v>到达时间；工时不确定；时间窗；无冲突路径；状态继承</x:v>
      </x:c>
      <x:c r="L19" s="27" t="str">
        <x:v>见原文；未显式报告者不补猜</x:v>
      </x:c>
      <x:c r="M19" s="27" t="str">
        <x:v>dynamic stochastic</x:v>
      </x:c>
      <x:c r="N19" s="27" t="str">
        <x:v>online</x:v>
      </x:c>
      <x:c r="O19" s="27" t="str">
        <x:v>新订单/动态到达；加工时间变化</x:v>
      </x:c>
      <x:c r="P19" s="27" t="str">
        <x:v>新订单/动态到达；加工时间变化</x:v>
      </x:c>
      <x:c r="Q19" s="27" t="str">
        <x:v>动/随</x:v>
      </x:c>
      <x:c r="R19" s="27" t="str">
        <x:v>not reported</x:v>
      </x:c>
      <x:c r="S19" s="27" t="str">
        <x:v>工件；机器；AGV；路网</x:v>
      </x:c>
      <x:c r="T19" s="27" t="str">
        <x:v>见动态处理/恢复决策字段</x:v>
      </x:c>
      <x:c r="U19" s="27" t="str">
        <x:v>hierarchical</x:v>
      </x:c>
      <x:c r="V19" s="27" t="str">
        <x:v>hybrid</x:v>
      </x:c>
      <x:c r="W19" s="27" t="str">
        <x:v>multi-objective combination</x:v>
      </x:c>
      <x:c r="X19" s="27" t="str">
        <x:v>核心车间原始研究；原分类=混合；动/随</x:v>
      </x:c>
      <x:c r="Y19" s="27" t="str">
        <x:v>右移/完全重调度＋时间窗路径机制；部分算法字符串待原PDF复核</x:v>
      </x:c>
      <x:c r="Z19" s="27" t="str">
        <x:v>待N5逐篇拆分解码/环境转移</x:v>
      </x:c>
      <x:c r="AA19" s="27" t="str">
        <x:v>待N5逐篇拆分修复/冲突处理</x:v>
      </x:c>
      <x:c r="AB19" s="27" t="str">
        <x:v>待N6抽取</x:v>
      </x:c>
      <x:c r="AC19" s="27" t="str">
        <x:v>右移/完全重调度＋时间窗路径机制；部分算法字符串待原PDF复核</x:v>
      </x:c>
      <x:c r="AD19" s="27" t="str">
        <x:v>见算法名称与职责；具体插入点待N5抽取</x:v>
      </x:c>
      <x:c r="AE19" s="27" t="str">
        <x:v>动态到达/工时不确定案例；转换缺字限制</x:v>
      </x:c>
      <x:c r="AF19" s="27" t="str">
        <x:v>待N6抽取</x:v>
      </x:c>
      <x:c r="AG19" s="27" t="str">
        <x:v>待N6抽取</x:v>
      </x:c>
      <x:c r="AH19" s="27" t="str">
        <x:v>待N6抽取</x:v>
      </x:c>
      <x:c r="AI19" s="27" t="str">
        <x:v>待N6抽取</x:v>
      </x:c>
      <x:c r="AJ19" s="27" t="str">
        <x:v>待N6抽取</x:v>
      </x:c>
      <x:c r="AK19" s="27" t="str">
        <x:v>待N6分级</x:v>
      </x:c>
      <x:c r="AL19" s="27" t="str">
        <x:v>见文内对照；待N6标准化</x:v>
      </x:c>
      <x:c r="AM19" s="27" t="str">
        <x:v>待N6抽取</x:v>
      </x:c>
      <x:c r="AN19" s="27" t="str">
        <x:v>待N6抽取</x:v>
      </x:c>
      <x:c r="AO19" s="27" t="str">
        <x:v>待N6抽取</x:v>
      </x:c>
      <x:c r="AP19" s="27" t="str">
        <x:v>待N6抽取</x:v>
      </x:c>
      <x:c r="AQ19" s="27" t="str">
        <x:v>待N6抽取</x:v>
      </x:c>
      <x:c r="AR19" s="27" t="str">
        <x:v>效率；稳定性；多目标组合</x:v>
      </x:c>
      <x:c r="AS19" s="27" t="str">
        <x:v>原始Markdown与N2/N4派生证据可用</x:v>
      </x:c>
      <x:c r="AT19" s="27" t="str">
        <x:v>文内结论与范围见N2引用与证据状态表</x:v>
      </x:c>
      <x:c r="AU19" s="27" t="str">
        <x:v>直接：摘要“工件动态到达”“工时不确定”“右移/完全重调度”“时间窗”；限制：转换文本存在缺字；动态到达/工时不确定案例；转换缺字限制</x:v>
      </x:c>
      <x:c r="AV19" s="27" t="str">
        <x:v>泛式分类仅用于全景整理，不构成当前静态创新性判断</x:v>
      </x:c>
      <x:c r="AW19" s="27" t="str">
        <x:v>跨论文性能不可直接比较</x:v>
      </x:c>
      <x:c r="AX19" s="27" t="str">
        <x:v>算法组件已完成首轮登记；编码/解码、完整预算、重复、种子和统计字段仍须N5/N6原文精读</x:v>
      </x:c>
      <x:c r="AY19" s="27" t="str">
        <x:v>direct evidence</x:v>
      </x:c>
      <x:c r="AZ19" s="27" t="str">
        <x:v>direct</x:v>
      </x:c>
      <x:c r="BA19" s="27" t="str">
        <x:v>First-pass complete</x:v>
      </x:c>
      <x:c r="BB19" s="27" t="str">
        <x:v>OK</x:v>
      </x:c>
    </x:row>
    <x:row r="20" ht="52.79999923706055" hidden="0" customHeight="1">
      <x:c r="A20" s="27" t="str">
        <x:v>L017-E01</x:v>
      </x:c>
      <x:c r="B20" s="27" t="str">
        <x:v>L017</x:v>
      </x:c>
      <x:c r="C20" s="27" t="str">
        <x:v>B017；直接：题名/摘要；“变速充电AGV”；MSPPO；析取图；HV/IGD</x:v>
      </x:c>
      <x:c r="D20" s="27" t="str">
        <x:v>Verified</x:v>
      </x:c>
      <x:c r="E20" s="27" t="str">
        <x:v>生产车间（绿色车间）；静/确</x:v>
      </x:c>
      <x:c r="F20" s="27" t="str">
        <x:v>workshop</x:v>
      </x:c>
      <x:c r="G20" s="27" t="str">
        <x:v>combination</x:v>
      </x:c>
      <x:c r="H20" s="27" t="str">
        <x:v>工件；机器；AGV；能源设施</x:v>
      </x:c>
      <x:c r="I20" s="27" t="str">
        <x:v>工序排序；机器分配；车辆/任务分配；速度决策；充电决策</x:v>
      </x:c>
      <x:c r="J20" s="27" t="str">
        <x:v>效率；能源；多目标组合</x:v>
      </x:c>
      <x:c r="K20" s="27" t="str">
        <x:v>工序优先；运输；速度范围；电池/充电</x:v>
      </x:c>
      <x:c r="L20" s="27" t="str">
        <x:v>见原文；未显式报告者不补猜</x:v>
      </x:c>
      <x:c r="M20" s="27" t="str">
        <x:v>static deterministic</x:v>
      </x:c>
      <x:c r="N20" s="27" t="str">
        <x:v>offline</x:v>
      </x:c>
      <x:c r="O20" s="27" t="str">
        <x:v>低电量；充电资源竞争</x:v>
      </x:c>
      <x:c r="P20" s="27" t="str">
        <x:v>低电量；充电资源竞争</x:v>
      </x:c>
      <x:c r="Q20" s="27" t="str">
        <x:v>静/确</x:v>
      </x:c>
      <x:c r="R20" s="27" t="str">
        <x:v>not reported</x:v>
      </x:c>
      <x:c r="S20" s="27" t="str">
        <x:v>工件；机器；AGV；能源设施</x:v>
      </x:c>
      <x:c r="T20" s="27" t="str">
        <x:v>见动态处理/恢复决策字段</x:v>
      </x:c>
      <x:c r="U20" s="27" t="str">
        <x:v>joint</x:v>
      </x:c>
      <x:c r="V20" s="27" t="str">
        <x:v>learning-based</x:v>
      </x:c>
      <x:c r="W20" s="27" t="str">
        <x:v>multi-objective combination</x:v>
      </x:c>
      <x:c r="X20" s="27" t="str">
        <x:v>核心车间原始研究；原分类=学习型；静/确</x:v>
      </x:c>
      <x:c r="Y20" s="27" t="str">
        <x:v>MSPPO＋析取图；变速与充电联合决策</x:v>
      </x:c>
      <x:c r="Z20" s="27" t="str">
        <x:v>待N5逐篇拆分解码/环境转移</x:v>
      </x:c>
      <x:c r="AA20" s="27" t="str">
        <x:v>待N5逐篇拆分修复/冲突处理</x:v>
      </x:c>
      <x:c r="AB20" s="27" t="str">
        <x:v>待N6抽取</x:v>
      </x:c>
      <x:c r="AC20" s="27" t="str">
        <x:v>MSPPO＋析取图；变速与充电联合决策</x:v>
      </x:c>
      <x:c r="AD20" s="27" t="str">
        <x:v>见算法名称与职责；具体插入点待N5抽取</x:v>
      </x:c>
      <x:c r="AE20" s="27" t="str">
        <x:v>多目标算例；HV/IGD；完整参考点和重复待N6抽取</x:v>
      </x:c>
      <x:c r="AF20" s="27" t="str">
        <x:v>待N6抽取</x:v>
      </x:c>
      <x:c r="AG20" s="27" t="str">
        <x:v>待N6抽取</x:v>
      </x:c>
      <x:c r="AH20" s="27" t="str">
        <x:v>待N6抽取</x:v>
      </x:c>
      <x:c r="AI20" s="27" t="str">
        <x:v>待N6抽取</x:v>
      </x:c>
      <x:c r="AJ20" s="27" t="str">
        <x:v>待N6抽取</x:v>
      </x:c>
      <x:c r="AK20" s="27" t="str">
        <x:v>待N6分级</x:v>
      </x:c>
      <x:c r="AL20" s="27" t="str">
        <x:v>见文内对照；待N6标准化</x:v>
      </x:c>
      <x:c r="AM20" s="27" t="str">
        <x:v>待N6抽取</x:v>
      </x:c>
      <x:c r="AN20" s="27" t="str">
        <x:v>待N6抽取</x:v>
      </x:c>
      <x:c r="AO20" s="27" t="str">
        <x:v>待N6抽取</x:v>
      </x:c>
      <x:c r="AP20" s="27" t="str">
        <x:v>待N6抽取</x:v>
      </x:c>
      <x:c r="AQ20" s="27" t="str">
        <x:v>待N6抽取</x:v>
      </x:c>
      <x:c r="AR20" s="27" t="str">
        <x:v>效率；能源；多目标组合</x:v>
      </x:c>
      <x:c r="AS20" s="27" t="str">
        <x:v>原始Markdown与N2/N4派生证据可用</x:v>
      </x:c>
      <x:c r="AT20" s="27" t="str">
        <x:v>文内结论与范围见N2引用与证据状态表</x:v>
      </x:c>
      <x:c r="AU20" s="27" t="str">
        <x:v>直接：题名/摘要；“变速充电AGV”；MSPPO；析取图；HV/IGD；多目标算例；HV/IGD；完整参考点和重复待N6抽取</x:v>
      </x:c>
      <x:c r="AV20" s="27" t="str">
        <x:v>泛式分类仅用于全景整理，不构成当前静态创新性判断</x:v>
      </x:c>
      <x:c r="AW20" s="27" t="str">
        <x:v>跨论文性能不可直接比较</x:v>
      </x:c>
      <x:c r="AX20" s="27" t="str">
        <x:v>算法组件已完成首轮登记；编码/解码、完整预算、重复、种子和统计字段仍须N5/N6原文精读</x:v>
      </x:c>
      <x:c r="AY20" s="27" t="str">
        <x:v>direct evidence</x:v>
      </x:c>
      <x:c r="AZ20" s="27" t="str">
        <x:v>direct</x:v>
      </x:c>
      <x:c r="BA20" s="27" t="str">
        <x:v>First-pass complete</x:v>
      </x:c>
      <x:c r="BB20" s="27" t="str">
        <x:v>OK</x:v>
      </x:c>
    </x:row>
    <x:row r="21" ht="52.79999923706055" hidden="0" customHeight="1">
      <x:c r="A21" s="27" t="str">
        <x:v>L018-E01</x:v>
      </x:c>
      <x:c r="B21" s="27" t="str">
        <x:v>L018</x:v>
      </x:c>
      <x:c r="C21" s="27" t="str">
        <x:v>B018；直接：摘要“完工时间、AGV数量、惩罚成本”“多段式实数编码”</x:v>
      </x:c>
      <x:c r="D21" s="27" t="str">
        <x:v>Verified</x:v>
      </x:c>
      <x:c r="E21" s="27" t="str">
        <x:v>生产车间；静/确</x:v>
      </x:c>
      <x:c r="F21" s="27" t="str">
        <x:v>workshop</x:v>
      </x:c>
      <x:c r="G21" s="27" t="str">
        <x:v>combination</x:v>
      </x:c>
      <x:c r="H21" s="27" t="str">
        <x:v>工件；机器；多AGV</x:v>
      </x:c>
      <x:c r="I21" s="27" t="str">
        <x:v>工序排序；车辆/任务分配；资源配置</x:v>
      </x:c>
      <x:c r="J21" s="27" t="str">
        <x:v>效率；资源成本；多目标组合</x:v>
      </x:c>
      <x:c r="K21" s="27" t="str">
        <x:v>工序优先；有限车辆；多约束</x:v>
      </x:c>
      <x:c r="L21" s="27" t="str">
        <x:v>见原文；未显式报告者不补猜</x:v>
      </x:c>
      <x:c r="M21" s="27" t="str">
        <x:v>static deterministic</x:v>
      </x:c>
      <x:c r="N21" s="27" t="str">
        <x:v>offline</x:v>
      </x:c>
      <x:c r="O21" s="27" t="str">
        <x:v>无事件</x:v>
      </x:c>
      <x:c r="P21" s="27" t="str">
        <x:v>无事件</x:v>
      </x:c>
      <x:c r="Q21" s="27" t="str">
        <x:v>静/确</x:v>
      </x:c>
      <x:c r="R21" s="27" t="str">
        <x:v>not reported</x:v>
      </x:c>
      <x:c r="S21" s="27" t="str">
        <x:v>工件；机器；多AGV</x:v>
      </x:c>
      <x:c r="T21" s="27" t="str">
        <x:v>见动态处理/恢复决策字段</x:v>
      </x:c>
      <x:c r="U21" s="27" t="str">
        <x:v>joint</x:v>
      </x:c>
      <x:c r="V21" s="27" t="str">
        <x:v>hybrid</x:v>
      </x:c>
      <x:c r="W21" s="27" t="str">
        <x:v>multi-objective combination</x:v>
      </x:c>
      <x:c r="X21" s="27" t="str">
        <x:v>核心车间原始研究；原分类=混合；静/确</x:v>
      </x:c>
      <x:c r="Y21" s="27" t="str">
        <x:v>AMOGA-DE＋多段式实数编码</x:v>
      </x:c>
      <x:c r="Z21" s="27" t="str">
        <x:v>待N5逐篇拆分解码/环境转移</x:v>
      </x:c>
      <x:c r="AA21" s="27" t="str">
        <x:v>待N5逐篇拆分修复/冲突处理</x:v>
      </x:c>
      <x:c r="AB21" s="27" t="str">
        <x:v>待N6抽取</x:v>
      </x:c>
      <x:c r="AC21" s="27" t="str">
        <x:v>AMOGA-DE＋多段式实数编码</x:v>
      </x:c>
      <x:c r="AD21" s="27" t="str">
        <x:v>见算法名称与职责；具体插入点待N5抽取</x:v>
      </x:c>
      <x:c r="AE21" s="27" t="str">
        <x:v>3个规模；NSGA-II/SPEA2对比</x:v>
      </x:c>
      <x:c r="AF21" s="27" t="str">
        <x:v>待N6抽取</x:v>
      </x:c>
      <x:c r="AG21" s="27" t="str">
        <x:v>待N6抽取</x:v>
      </x:c>
      <x:c r="AH21" s="27" t="str">
        <x:v>待N6抽取</x:v>
      </x:c>
      <x:c r="AI21" s="27" t="str">
        <x:v>待N6抽取</x:v>
      </x:c>
      <x:c r="AJ21" s="27" t="str">
        <x:v>待N6抽取</x:v>
      </x:c>
      <x:c r="AK21" s="27" t="str">
        <x:v>待N6分级</x:v>
      </x:c>
      <x:c r="AL21" s="27" t="str">
        <x:v>见文内对照；待N6标准化</x:v>
      </x:c>
      <x:c r="AM21" s="27" t="str">
        <x:v>待N6抽取</x:v>
      </x:c>
      <x:c r="AN21" s="27" t="str">
        <x:v>待N6抽取</x:v>
      </x:c>
      <x:c r="AO21" s="27" t="str">
        <x:v>待N6抽取</x:v>
      </x:c>
      <x:c r="AP21" s="27" t="str">
        <x:v>待N6抽取</x:v>
      </x:c>
      <x:c r="AQ21" s="27" t="str">
        <x:v>待N6抽取</x:v>
      </x:c>
      <x:c r="AR21" s="27" t="str">
        <x:v>效率；资源成本；多目标组合</x:v>
      </x:c>
      <x:c r="AS21" s="27" t="str">
        <x:v>原始Markdown与N2/N4派生证据可用</x:v>
      </x:c>
      <x:c r="AT21" s="27" t="str">
        <x:v>文内结论与范围见N2引用与证据状态表</x:v>
      </x:c>
      <x:c r="AU21" s="27" t="str">
        <x:v>直接：摘要“完工时间、AGV数量、惩罚成本”“多段式实数编码”；3个规模；NSGA-II/SPEA2对比</x:v>
      </x:c>
      <x:c r="AV21" s="27" t="str">
        <x:v>泛式分类仅用于全景整理，不构成当前静态创新性判断</x:v>
      </x:c>
      <x:c r="AW21" s="27" t="str">
        <x:v>跨论文性能不可直接比较</x:v>
      </x:c>
      <x:c r="AX21" s="27" t="str">
        <x:v>算法组件已完成首轮登记；编码/解码、完整预算、重复、种子和统计字段仍须N5/N6原文精读</x:v>
      </x:c>
      <x:c r="AY21" s="27" t="str">
        <x:v>direct evidence</x:v>
      </x:c>
      <x:c r="AZ21" s="27" t="str">
        <x:v>direct</x:v>
      </x:c>
      <x:c r="BA21" s="27" t="str">
        <x:v>First-pass complete</x:v>
      </x:c>
      <x:c r="BB21" s="27" t="str">
        <x:v>OK</x:v>
      </x:c>
    </x:row>
    <x:row r="22" ht="52.79999923706055" hidden="0" customHeight="1">
      <x:c r="A22" s="27" t="str">
        <x:v>L019-E01</x:v>
      </x:c>
      <x:c r="B22" s="27" t="str">
        <x:v>L019</x:v>
      </x:c>
      <x:c r="C22" s="27" t="str">
        <x:v>B019；直接：摘要/模型；GAIVNS；三层编码；关键路径；配置实验</x:v>
      </x:c>
      <x:c r="D22" s="27" t="str">
        <x:v>Original-source verified</x:v>
      </x:c>
      <x:c r="E22" s="27" t="str">
        <x:v>生产车间；静/确</x:v>
      </x:c>
      <x:c r="F22" s="27" t="str">
        <x:v>workshop</x:v>
      </x:c>
      <x:c r="G22" s="27" t="str">
        <x:v>combination</x:v>
      </x:c>
      <x:c r="H22" s="27" t="str">
        <x:v>工件；机器；AGV</x:v>
      </x:c>
      <x:c r="I22" s="27" t="str">
        <x:v>工序排序；机器分配；车辆/任务分配；运输排序</x:v>
      </x:c>
      <x:c r="J22" s="27" t="str">
        <x:v>效率；多目标组合</x:v>
      </x:c>
      <x:c r="K22" s="27" t="str">
        <x:v>工序优先；机器可选/占用；有限车辆；运输时间</x:v>
      </x:c>
      <x:c r="L22" s="27" t="str">
        <x:v>见原文；未显式报告者不补猜</x:v>
      </x:c>
      <x:c r="M22" s="27" t="str">
        <x:v>static deterministic</x:v>
      </x:c>
      <x:c r="N22" s="27" t="str">
        <x:v>offline</x:v>
      </x:c>
      <x:c r="O22" s="27" t="str">
        <x:v>无事件</x:v>
      </x:c>
      <x:c r="P22" s="27" t="str">
        <x:v>无事件</x:v>
      </x:c>
      <x:c r="Q22" s="27" t="str">
        <x:v>静/确</x:v>
      </x:c>
      <x:c r="R22" s="27" t="str">
        <x:v>not reported</x:v>
      </x:c>
      <x:c r="S22" s="27" t="str">
        <x:v>工件；机器；AGV</x:v>
      </x:c>
      <x:c r="T22" s="27" t="str">
        <x:v>见动态处理/恢复决策字段</x:v>
      </x:c>
      <x:c r="U22" s="27" t="str">
        <x:v>joint</x:v>
      </x:c>
      <x:c r="V22" s="27" t="str">
        <x:v>hybrid</x:v>
      </x:c>
      <x:c r="W22" s="27" t="str">
        <x:v>multi-objective combination</x:v>
      </x:c>
      <x:c r="X22" s="27" t="str">
        <x:v>核心车间原始研究；原分类=混合；静/确</x:v>
      </x:c>
      <x:c r="Y22" s="27" t="str">
        <x:v>GAIVNS＋三层编码＋关键路径局部搜索</x:v>
      </x:c>
      <x:c r="Z22" s="27" t="str">
        <x:v>待N5逐篇拆分解码/环境转移</x:v>
      </x:c>
      <x:c r="AA22" s="27" t="str">
        <x:v>待N5逐篇拆分修复/冲突处理</x:v>
      </x:c>
      <x:c r="AB22" s="27" t="str">
        <x:v>待N6抽取</x:v>
      </x:c>
      <x:c r="AC22" s="27" t="str">
        <x:v>GAIVNS＋三层编码＋关键路径局部搜索</x:v>
      </x:c>
      <x:c r="AD22" s="27" t="str">
        <x:v>见算法名称与职责；具体插入点待N5抽取</x:v>
      </x:c>
      <x:c r="AE22" s="27" t="str">
        <x:v>标准算例＋企业案例＋配置/敏感性实验</x:v>
      </x:c>
      <x:c r="AF22" s="27" t="str">
        <x:v>待N6抽取</x:v>
      </x:c>
      <x:c r="AG22" s="27" t="str">
        <x:v>待N6抽取</x:v>
      </x:c>
      <x:c r="AH22" s="27" t="str">
        <x:v>待N6抽取</x:v>
      </x:c>
      <x:c r="AI22" s="27" t="str">
        <x:v>待N6抽取</x:v>
      </x:c>
      <x:c r="AJ22" s="27" t="str">
        <x:v>待N6抽取</x:v>
      </x:c>
      <x:c r="AK22" s="27" t="str">
        <x:v>待N6分级</x:v>
      </x:c>
      <x:c r="AL22" s="27" t="str">
        <x:v>见文内对照；待N6标准化</x:v>
      </x:c>
      <x:c r="AM22" s="27" t="str">
        <x:v>待N6抽取</x:v>
      </x:c>
      <x:c r="AN22" s="27" t="str">
        <x:v>待N6抽取</x:v>
      </x:c>
      <x:c r="AO22" s="27" t="str">
        <x:v>待N6抽取</x:v>
      </x:c>
      <x:c r="AP22" s="27" t="str">
        <x:v>待N6抽取</x:v>
      </x:c>
      <x:c r="AQ22" s="27" t="str">
        <x:v>待N6抽取</x:v>
      </x:c>
      <x:c r="AR22" s="27" t="str">
        <x:v>效率；多目标组合</x:v>
      </x:c>
      <x:c r="AS22" s="27" t="str">
        <x:v>原始Markdown与N2/N4派生证据可用</x:v>
      </x:c>
      <x:c r="AT22" s="27" t="str">
        <x:v>文内结论与范围见N2引用与证据状态表</x:v>
      </x:c>
      <x:c r="AU22" s="27" t="str">
        <x:v>直接：摘要/模型；GAIVNS；三层编码；关键路径；配置实验；标准算例＋企业案例＋配置/敏感性实验</x:v>
      </x:c>
      <x:c r="AV22" s="27" t="str">
        <x:v>泛式分类仅用于全景整理，不构成当前静态创新性判断</x:v>
      </x:c>
      <x:c r="AW22" s="27" t="str">
        <x:v>跨论文性能不可直接比较</x:v>
      </x:c>
      <x:c r="AX22" s="27" t="str">
        <x:v>算法组件已完成首轮登记；编码/解码、完整预算、重复、种子和统计字段仍须N5/N6原文精读</x:v>
      </x:c>
      <x:c r="AY22" s="27" t="str">
        <x:v>direct evidence</x:v>
      </x:c>
      <x:c r="AZ22" s="27" t="str">
        <x:v>direct</x:v>
      </x:c>
      <x:c r="BA22" s="27" t="str">
        <x:v>First-pass complete</x:v>
      </x:c>
      <x:c r="BB22" s="27" t="str">
        <x:v>OK</x:v>
      </x:c>
    </x:row>
    <x:row r="23" ht="66" hidden="0" customHeight="1">
      <x:c r="A23" s="27" t="str">
        <x:v>L020-E01</x:v>
      </x:c>
      <x:c r="B23" s="27" t="str">
        <x:v>L020</x:v>
      </x:c>
      <x:c r="C23" s="27" t="str">
        <x:v>B020；直接：摘要“高峰和低谷时段”“充电策略”“能量均衡”；限制：任务场景给定，未见概率事件模型</x:v>
      </x:c>
      <x:c r="D23" s="27" t="str">
        <x:v>Original-source verified</x:v>
      </x:c>
      <x:c r="E23" s="27" t="str">
        <x:v>自动化码头；动/确</x:v>
      </x:c>
      <x:c r="F23" s="27" t="str">
        <x:v>terminal</x:v>
      </x:c>
      <x:c r="G23" s="27" t="str">
        <x:v>combination</x:v>
      </x:c>
      <x:c r="H23" s="27" t="str">
        <x:v>任务；AGV；能源设施</x:v>
      </x:c>
      <x:c r="I23" s="27" t="str">
        <x:v>车辆/任务分配；充电决策</x:v>
      </x:c>
      <x:c r="J23" s="27" t="str">
        <x:v>能源；效率；多目标组合</x:v>
      </x:c>
      <x:c r="K23" s="27" t="str">
        <x:v>电量范围；充电站容量/利用；任务时效；布局</x:v>
      </x:c>
      <x:c r="L23" s="27" t="str">
        <x:v>见原文；未显式报告者不补猜</x:v>
      </x:c>
      <x:c r="M23" s="27" t="str">
        <x:v>dynamic deterministic</x:v>
      </x:c>
      <x:c r="N23" s="27" t="str">
        <x:v>online</x:v>
      </x:c>
      <x:c r="O23" s="27" t="str">
        <x:v>低电量；充电资源竞争</x:v>
      </x:c>
      <x:c r="P23" s="27" t="str">
        <x:v>低电量；充电资源竞争</x:v>
      </x:c>
      <x:c r="Q23" s="27" t="str">
        <x:v>动/确</x:v>
      </x:c>
      <x:c r="R23" s="27" t="str">
        <x:v>not reported</x:v>
      </x:c>
      <x:c r="S23" s="27" t="str">
        <x:v>任务；AGV；能源设施</x:v>
      </x:c>
      <x:c r="T23" s="27" t="str">
        <x:v>见动态处理/恢复决策字段</x:v>
      </x:c>
      <x:c r="U23" s="27" t="str">
        <x:v>unclear</x:v>
      </x:c>
      <x:c r="V23" s="27" t="str">
        <x:v>hybrid</x:v>
      </x:c>
      <x:c r="W23" s="27" t="str">
        <x:v>multi-objective combination</x:v>
      </x:c>
      <x:c r="X23" s="27" t="str">
        <x:v>路径/任务相邻研究；原分类=混合；动/确</x:v>
      </x:c>
      <x:c r="Y23" s="27" t="str">
        <x:v>MADDPG-PGT势博弈深度强化学习＋充电策略</x:v>
      </x:c>
      <x:c r="Z23" s="27" t="str">
        <x:v>待N5逐篇拆分解码/环境转移</x:v>
      </x:c>
      <x:c r="AA23" s="27" t="str">
        <x:v>待N5逐篇拆分修复/冲突处理</x:v>
      </x:c>
      <x:c r="AB23" s="27" t="str">
        <x:v>待N6抽取</x:v>
      </x:c>
      <x:c r="AC23" s="27" t="str">
        <x:v>MADDPG-PGT势博弈深度强化学习＋充电策略</x:v>
      </x:c>
      <x:c r="AD23" s="27" t="str">
        <x:v>见算法名称与职责；具体插入点待N5抽取</x:v>
      </x:c>
      <x:c r="AE23" s="27" t="str">
        <x:v>3艘实际船舶场景；能量均衡与效率指标</x:v>
      </x:c>
      <x:c r="AF23" s="27" t="str">
        <x:v>待N6抽取</x:v>
      </x:c>
      <x:c r="AG23" s="27" t="str">
        <x:v>待N6抽取</x:v>
      </x:c>
      <x:c r="AH23" s="27" t="str">
        <x:v>待N6抽取</x:v>
      </x:c>
      <x:c r="AI23" s="27" t="str">
        <x:v>待N6抽取</x:v>
      </x:c>
      <x:c r="AJ23" s="27" t="str">
        <x:v>待N6抽取</x:v>
      </x:c>
      <x:c r="AK23" s="27" t="str">
        <x:v>待N6分级</x:v>
      </x:c>
      <x:c r="AL23" s="27" t="str">
        <x:v>见文内对照；待N6标准化</x:v>
      </x:c>
      <x:c r="AM23" s="27" t="str">
        <x:v>待N6抽取</x:v>
      </x:c>
      <x:c r="AN23" s="27" t="str">
        <x:v>待N6抽取</x:v>
      </x:c>
      <x:c r="AO23" s="27" t="str">
        <x:v>待N6抽取</x:v>
      </x:c>
      <x:c r="AP23" s="27" t="str">
        <x:v>待N6抽取</x:v>
      </x:c>
      <x:c r="AQ23" s="27" t="str">
        <x:v>待N6抽取</x:v>
      </x:c>
      <x:c r="AR23" s="27" t="str">
        <x:v>能源；效率；多目标组合</x:v>
      </x:c>
      <x:c r="AS23" s="27" t="str">
        <x:v>原始Markdown与N2/N4派生证据可用</x:v>
      </x:c>
      <x:c r="AT23" s="27" t="str">
        <x:v>文内结论与范围见N2引用与证据状态表</x:v>
      </x:c>
      <x:c r="AU23" s="27" t="str">
        <x:v>直接：摘要“高峰和低谷时段”“充电策略”“能量均衡”；限制：任务场景给定，未见概率事件模型；3艘实际船舶场景；能量均衡与效率指标</x:v>
      </x:c>
      <x:c r="AV23" s="27" t="str">
        <x:v>泛式分类仅用于全景整理，不构成当前静态创新性判断</x:v>
      </x:c>
      <x:c r="AW23" s="27" t="str">
        <x:v>跨论文性能不可直接比较</x:v>
      </x:c>
      <x:c r="AX23" s="27" t="str">
        <x:v>算法组件已完成首轮登记；编码/解码、完整预算、重复、种子和统计字段仍须N5/N6原文精读</x:v>
      </x:c>
      <x:c r="AY23" s="27" t="str">
        <x:v>direct evidence</x:v>
      </x:c>
      <x:c r="AZ23" s="27" t="str">
        <x:v>direct</x:v>
      </x:c>
      <x:c r="BA23" s="27" t="str">
        <x:v>First-pass complete</x:v>
      </x:c>
      <x:c r="BB23" s="27" t="str">
        <x:v>OK</x:v>
      </x:c>
    </x:row>
    <x:row r="24" ht="52.79999923706055" hidden="0" customHeight="1">
      <x:c r="A24" s="27" t="str">
        <x:v>L021-E01</x:v>
      </x:c>
      <x:c r="B24" s="27" t="str">
        <x:v>L021</x:v>
      </x:c>
      <x:c r="C24" s="27" t="str">
        <x:v>B021；直接：题名/摘要；改进A；DQN；CBS；数字孪生；限制：随机模型未报告</x:v>
      </x:c>
      <x:c r="D24" s="27" t="str">
        <x:v>Original-source verified</x:v>
      </x:c>
      <x:c r="E24" s="27" t="str">
        <x:v>仓储（无人仓）；动/未报</x:v>
      </x:c>
      <x:c r="F24" s="27" t="str">
        <x:v>warehouse</x:v>
      </x:c>
      <x:c r="G24" s="27" t="str">
        <x:v>combination</x:v>
      </x:c>
      <x:c r="H24" s="27" t="str">
        <x:v>AGV；路网；数字孪生</x:v>
      </x:c>
      <x:c r="I24" s="27" t="str">
        <x:v>路径规划；冲突控制</x:v>
      </x:c>
      <x:c r="J24" s="27" t="str">
        <x:v>效率；安全</x:v>
      </x:c>
      <x:c r="K24" s="27" t="str">
        <x:v>路径互斥；无碰撞；6–12辆AGV</x:v>
      </x:c>
      <x:c r="L24" s="27" t="str">
        <x:v>见原文；未显式报告者不补猜</x:v>
      </x:c>
      <x:c r="M24" s="27" t="str">
        <x:v>other</x:v>
      </x:c>
      <x:c r="N24" s="27" t="str">
        <x:v>online</x:v>
      </x:c>
      <x:c r="O24" s="27" t="str">
        <x:v>碰撞风险；拥堵</x:v>
      </x:c>
      <x:c r="P24" s="27" t="str">
        <x:v>碰撞风险；拥堵</x:v>
      </x:c>
      <x:c r="Q24" s="27" t="str">
        <x:v>动/未报</x:v>
      </x:c>
      <x:c r="R24" s="27" t="str">
        <x:v>not reported</x:v>
      </x:c>
      <x:c r="S24" s="27" t="str">
        <x:v>AGV；路网；数字孪生</x:v>
      </x:c>
      <x:c r="T24" s="27" t="str">
        <x:v>见动态处理/恢复决策字段</x:v>
      </x:c>
      <x:c r="U24" s="27" t="str">
        <x:v>hierarchical</x:v>
      </x:c>
      <x:c r="V24" s="27" t="str">
        <x:v>hybrid</x:v>
      </x:c>
      <x:c r="W24" s="27" t="str">
        <x:v>safety</x:v>
      </x:c>
      <x:c r="X24" s="27" t="str">
        <x:v>路径/任务相邻研究；原分类=混合；动/未报</x:v>
      </x:c>
      <x:c r="Y24" s="27" t="str">
        <x:v>数字孪生＋改进A*＋DQN＋CBS分层组合</x:v>
      </x:c>
      <x:c r="Z24" s="27" t="str">
        <x:v>待N5逐篇拆分解码/环境转移</x:v>
      </x:c>
      <x:c r="AA24" s="27" t="str">
        <x:v>待N5逐篇拆分修复/冲突处理</x:v>
      </x:c>
      <x:c r="AB24" s="27" t="str">
        <x:v>待N6抽取</x:v>
      </x:c>
      <x:c r="AC24" s="27" t="str">
        <x:v>数字孪生＋改进A*＋DQN＋CBS分层组合</x:v>
      </x:c>
      <x:c r="AD24" s="27" t="str">
        <x:v>见算法名称与职责；具体插入点待N5抽取</x:v>
      </x:c>
      <x:c r="AE24" s="27" t="str">
        <x:v>6–12辆AGV；路径和冲突指标</x:v>
      </x:c>
      <x:c r="AF24" s="27" t="str">
        <x:v>待N6抽取</x:v>
      </x:c>
      <x:c r="AG24" s="27" t="str">
        <x:v>待N6抽取</x:v>
      </x:c>
      <x:c r="AH24" s="27" t="str">
        <x:v>待N6抽取</x:v>
      </x:c>
      <x:c r="AI24" s="27" t="str">
        <x:v>待N6抽取</x:v>
      </x:c>
      <x:c r="AJ24" s="27" t="str">
        <x:v>待N6抽取</x:v>
      </x:c>
      <x:c r="AK24" s="27" t="str">
        <x:v>待N6分级</x:v>
      </x:c>
      <x:c r="AL24" s="27" t="str">
        <x:v>见文内对照；待N6标准化</x:v>
      </x:c>
      <x:c r="AM24" s="27" t="str">
        <x:v>待N6抽取</x:v>
      </x:c>
      <x:c r="AN24" s="27" t="str">
        <x:v>待N6抽取</x:v>
      </x:c>
      <x:c r="AO24" s="27" t="str">
        <x:v>待N6抽取</x:v>
      </x:c>
      <x:c r="AP24" s="27" t="str">
        <x:v>待N6抽取</x:v>
      </x:c>
      <x:c r="AQ24" s="27" t="str">
        <x:v>待N6抽取</x:v>
      </x:c>
      <x:c r="AR24" s="27" t="str">
        <x:v>效率；安全</x:v>
      </x:c>
      <x:c r="AS24" s="27" t="str">
        <x:v>原始Markdown与N2/N4派生证据可用</x:v>
      </x:c>
      <x:c r="AT24" s="27" t="str">
        <x:v>文内结论与范围见N2引用与证据状态表</x:v>
      </x:c>
      <x:c r="AU24" s="27" t="str">
        <x:v>直接：题名/摘要；改进A；DQN；CBS；数字孪生；限制：随机模型未报告；6–12辆AGV；路径和冲突指标</x:v>
      </x:c>
      <x:c r="AV24" s="27" t="str">
        <x:v>泛式分类仅用于全景整理，不构成当前静态创新性判断</x:v>
      </x:c>
      <x:c r="AW24" s="27" t="str">
        <x:v>随机性/事件生成机制不完整</x:v>
      </x:c>
      <x:c r="AX24" s="27" t="str">
        <x:v>算法组件已完成首轮登记；编码/解码、完整预算、重复、种子和统计字段仍须N5/N6原文精读</x:v>
      </x:c>
      <x:c r="AY24" s="27" t="str">
        <x:v>direct evidence</x:v>
      </x:c>
      <x:c r="AZ24" s="27" t="str">
        <x:v>direct</x:v>
      </x:c>
      <x:c r="BA24" s="27" t="str">
        <x:v>First-pass complete</x:v>
      </x:c>
      <x:c r="BB24" s="27" t="str">
        <x:v>OK</x:v>
      </x:c>
    </x:row>
    <x:row r="25" ht="52.79999923706055" hidden="0" customHeight="1">
      <x:c r="A25" s="27" t="str">
        <x:v>L022-E01</x:v>
      </x:c>
      <x:c r="B25" s="27" t="str">
        <x:v>L022</x:v>
      </x:c>
      <x:c r="C25" s="27" t="str">
        <x:v>B022；直接：摘要“机床/AGV小车双资源”“数学模型”“工序特征交叉”</x:v>
      </x:c>
      <x:c r="D25" s="27" t="str">
        <x:v>Original-source verified</x:v>
      </x:c>
      <x:c r="E25" s="27" t="str">
        <x:v>生产车间；静/确</x:v>
      </x:c>
      <x:c r="F25" s="27" t="str">
        <x:v>workshop</x:v>
      </x:c>
      <x:c r="G25" s="27" t="str">
        <x:v>combination</x:v>
      </x:c>
      <x:c r="H25" s="27" t="str">
        <x:v>工件；机器；AGV</x:v>
      </x:c>
      <x:c r="I25" s="27" t="str">
        <x:v>工序排序；机器分配；车辆/任务分配；运输排序</x:v>
      </x:c>
      <x:c r="J25" s="27" t="str">
        <x:v>效率</x:v>
      </x:c>
      <x:c r="K25" s="27" t="str">
        <x:v>工序优先；机床/AGV双资源；运输路线</x:v>
      </x:c>
      <x:c r="L25" s="27" t="str">
        <x:v>见原文；未显式报告者不补猜</x:v>
      </x:c>
      <x:c r="M25" s="27" t="str">
        <x:v>static deterministic</x:v>
      </x:c>
      <x:c r="N25" s="27" t="str">
        <x:v>offline</x:v>
      </x:c>
      <x:c r="O25" s="27" t="str">
        <x:v>无事件</x:v>
      </x:c>
      <x:c r="P25" s="27" t="str">
        <x:v>无事件</x:v>
      </x:c>
      <x:c r="Q25" s="27" t="str">
        <x:v>静/确</x:v>
      </x:c>
      <x:c r="R25" s="27" t="str">
        <x:v>not reported</x:v>
      </x:c>
      <x:c r="S25" s="27" t="str">
        <x:v>工件；机器；AGV</x:v>
      </x:c>
      <x:c r="T25" s="27" t="str">
        <x:v>见动态处理/恢复决策字段</x:v>
      </x:c>
      <x:c r="U25" s="27" t="str">
        <x:v>joint</x:v>
      </x:c>
      <x:c r="V25" s="27" t="str">
        <x:v>metaheuristic</x:v>
      </x:c>
      <x:c r="W25" s="27" t="str">
        <x:v>efficiency</x:v>
      </x:c>
      <x:c r="X25" s="27" t="str">
        <x:v>核心车间原始研究；原分类=元启发式；静/确</x:v>
      </x:c>
      <x:c r="Y25" s="27" t="str">
        <x:v>遗传算法＋工序特征交叉；机床/AGV双资源编码</x:v>
      </x:c>
      <x:c r="Z25" s="27" t="str">
        <x:v>待N5逐篇拆分解码/环境转移</x:v>
      </x:c>
      <x:c r="AA25" s="27" t="str">
        <x:v>待N5逐篇拆分修复/冲突处理</x:v>
      </x:c>
      <x:c r="AB25" s="27" t="str">
        <x:v>待N6抽取</x:v>
      </x:c>
      <x:c r="AC25" s="27" t="str">
        <x:v>遗传算法＋工序特征交叉；机床/AGV双资源编码</x:v>
      </x:c>
      <x:c r="AD25" s="27" t="str">
        <x:v>见算法名称与职责；具体插入点待N5抽取</x:v>
      </x:c>
      <x:c r="AE25" s="27" t="str">
        <x:v>车间算例；具体重复和统计未报告</x:v>
      </x:c>
      <x:c r="AF25" s="27" t="str">
        <x:v>待N6抽取</x:v>
      </x:c>
      <x:c r="AG25" s="27" t="str">
        <x:v>待N6抽取</x:v>
      </x:c>
      <x:c r="AH25" s="27" t="str">
        <x:v>待N6抽取</x:v>
      </x:c>
      <x:c r="AI25" s="27" t="str">
        <x:v>待N6抽取</x:v>
      </x:c>
      <x:c r="AJ25" s="27" t="str">
        <x:v>待N6抽取</x:v>
      </x:c>
      <x:c r="AK25" s="27" t="str">
        <x:v>待N6分级</x:v>
      </x:c>
      <x:c r="AL25" s="27" t="str">
        <x:v>见文内对照；待N6标准化</x:v>
      </x:c>
      <x:c r="AM25" s="27" t="str">
        <x:v>待N6抽取</x:v>
      </x:c>
      <x:c r="AN25" s="27" t="str">
        <x:v>待N6抽取</x:v>
      </x:c>
      <x:c r="AO25" s="27" t="str">
        <x:v>待N6抽取</x:v>
      </x:c>
      <x:c r="AP25" s="27" t="str">
        <x:v>待N6抽取</x:v>
      </x:c>
      <x:c r="AQ25" s="27" t="str">
        <x:v>待N6抽取</x:v>
      </x:c>
      <x:c r="AR25" s="27" t="str">
        <x:v>效率</x:v>
      </x:c>
      <x:c r="AS25" s="27" t="str">
        <x:v>原始Markdown与N2/N4派生证据可用</x:v>
      </x:c>
      <x:c r="AT25" s="27" t="str">
        <x:v>文内结论与范围见N2引用与证据状态表</x:v>
      </x:c>
      <x:c r="AU25" s="27" t="str">
        <x:v>直接：摘要“机床/AGV小车双资源”“数学模型”“工序特征交叉”；车间算例；具体重复和统计未报告</x:v>
      </x:c>
      <x:c r="AV25" s="27" t="str">
        <x:v>泛式分类仅用于全景整理，不构成当前静态创新性判断</x:v>
      </x:c>
      <x:c r="AW25" s="27" t="str">
        <x:v>跨论文性能不可直接比较</x:v>
      </x:c>
      <x:c r="AX25" s="27" t="str">
        <x:v>算法组件已完成首轮登记；编码/解码、完整预算、重复、种子和统计字段仍须N5/N6原文精读</x:v>
      </x:c>
      <x:c r="AY25" s="27" t="str">
        <x:v>direct evidence</x:v>
      </x:c>
      <x:c r="AZ25" s="27" t="str">
        <x:v>direct</x:v>
      </x:c>
      <x:c r="BA25" s="27" t="str">
        <x:v>First-pass complete</x:v>
      </x:c>
      <x:c r="BB25" s="27" t="str">
        <x:v>OK</x:v>
      </x:c>
    </x:row>
    <x:row r="26" ht="66" hidden="0" customHeight="1">
      <x:c r="A26" s="27" t="str">
        <x:v>L023-E01</x:v>
      </x:c>
      <x:c r="B26" s="27" t="str">
        <x:v>L023</x:v>
      </x:c>
      <x:c r="C26" s="27" t="str">
        <x:v>B023；直接：摘要；LS-A3C；Bi-LSTM-CBAM；SUMO/Gazebo；限制：随机模型未报告</x:v>
      </x:c>
      <x:c r="D26" s="27" t="str">
        <x:v>Verified</x:v>
      </x:c>
      <x:c r="E26" s="27" t="str">
        <x:v>仓储；动/未报</x:v>
      </x:c>
      <x:c r="F26" s="27" t="str">
        <x:v>warehouse</x:v>
      </x:c>
      <x:c r="G26" s="27" t="str">
        <x:v>combination</x:v>
      </x:c>
      <x:c r="H26" s="27" t="str">
        <x:v>AGV；路网；交通信号；障碍</x:v>
      </x:c>
      <x:c r="I26" s="27" t="str">
        <x:v>路径规划；冲突控制</x:v>
      </x:c>
      <x:c r="J26" s="27" t="str">
        <x:v>安全；效率；计算成本</x:v>
      </x:c>
      <x:c r="K26" s="27" t="str">
        <x:v>交通信号；路径互斥；实时性；障碍识别</x:v>
      </x:c>
      <x:c r="L26" s="27" t="str">
        <x:v>见原文；未显式报告者不补猜</x:v>
      </x:c>
      <x:c r="M26" s="27" t="str">
        <x:v>other</x:v>
      </x:c>
      <x:c r="N26" s="27" t="str">
        <x:v>online</x:v>
      </x:c>
      <x:c r="O26" s="27" t="str">
        <x:v>碰撞风险；死锁风险；拥堵；障碍</x:v>
      </x:c>
      <x:c r="P26" s="27" t="str">
        <x:v>碰撞风险；死锁风险；拥堵；障碍</x:v>
      </x:c>
      <x:c r="Q26" s="27" t="str">
        <x:v>动/未报</x:v>
      </x:c>
      <x:c r="R26" s="27" t="str">
        <x:v>not reported</x:v>
      </x:c>
      <x:c r="S26" s="27" t="str">
        <x:v>AGV；路网；交通信号；障碍</x:v>
      </x:c>
      <x:c r="T26" s="27" t="str">
        <x:v>见动态处理/恢复决策字段</x:v>
      </x:c>
      <x:c r="U26" s="27" t="str">
        <x:v>hierarchical</x:v>
      </x:c>
      <x:c r="V26" s="27" t="str">
        <x:v>learning-based</x:v>
      </x:c>
      <x:c r="W26" s="27" t="str">
        <x:v>safety</x:v>
      </x:c>
      <x:c r="X26" s="27" t="str">
        <x:v>路径/任务相邻研究；原分类=学习型；动/未报</x:v>
      </x:c>
      <x:c r="Y26" s="27" t="str">
        <x:v>LS-A3C＋Bi-LSTM-CBAM；交通信号与路径协同控制</x:v>
      </x:c>
      <x:c r="Z26" s="27" t="str">
        <x:v>待N5逐篇拆分解码/环境转移</x:v>
      </x:c>
      <x:c r="AA26" s="27" t="str">
        <x:v>待N5逐篇拆分修复/冲突处理</x:v>
      </x:c>
      <x:c r="AB26" s="27" t="str">
        <x:v>待N6抽取</x:v>
      </x:c>
      <x:c r="AC26" s="27" t="str">
        <x:v>LS-A3C＋Bi-LSTM-CBAM；交通信号与路径协同控制</x:v>
      </x:c>
      <x:c r="AD26" s="27" t="str">
        <x:v>见算法名称与职责；具体插入点待N5抽取</x:v>
      </x:c>
      <x:c r="AE26" s="27" t="str">
        <x:v>SUMO/Gazebo仿真；交通、安全与计算指标</x:v>
      </x:c>
      <x:c r="AF26" s="27" t="str">
        <x:v>待N6抽取</x:v>
      </x:c>
      <x:c r="AG26" s="27" t="str">
        <x:v>待N6抽取</x:v>
      </x:c>
      <x:c r="AH26" s="27" t="str">
        <x:v>待N6抽取</x:v>
      </x:c>
      <x:c r="AI26" s="27" t="str">
        <x:v>待N6抽取</x:v>
      </x:c>
      <x:c r="AJ26" s="27" t="str">
        <x:v>待N6抽取</x:v>
      </x:c>
      <x:c r="AK26" s="27" t="str">
        <x:v>待N6分级</x:v>
      </x:c>
      <x:c r="AL26" s="27" t="str">
        <x:v>见文内对照；待N6标准化</x:v>
      </x:c>
      <x:c r="AM26" s="27" t="str">
        <x:v>待N6抽取</x:v>
      </x:c>
      <x:c r="AN26" s="27" t="str">
        <x:v>待N6抽取</x:v>
      </x:c>
      <x:c r="AO26" s="27" t="str">
        <x:v>待N6抽取</x:v>
      </x:c>
      <x:c r="AP26" s="27" t="str">
        <x:v>待N6抽取</x:v>
      </x:c>
      <x:c r="AQ26" s="27" t="str">
        <x:v>待N6抽取</x:v>
      </x:c>
      <x:c r="AR26" s="27" t="str">
        <x:v>安全；效率；计算成本</x:v>
      </x:c>
      <x:c r="AS26" s="27" t="str">
        <x:v>原始Markdown与N2/N4派生证据可用</x:v>
      </x:c>
      <x:c r="AT26" s="27" t="str">
        <x:v>文内结论与范围见N2引用与证据状态表</x:v>
      </x:c>
      <x:c r="AU26" s="27" t="str">
        <x:v>直接：摘要；LS-A3C；Bi-LSTM-CBAM；SUMO/Gazebo；限制：随机模型未报告；SUMO/Gazebo仿真；交通、安全与计算指标</x:v>
      </x:c>
      <x:c r="AV26" s="27" t="str">
        <x:v>泛式分类仅用于全景整理，不构成当前静态创新性判断</x:v>
      </x:c>
      <x:c r="AW26" s="27" t="str">
        <x:v>随机性/事件生成机制不完整</x:v>
      </x:c>
      <x:c r="AX26" s="27" t="str">
        <x:v>算法组件已完成首轮登记；编码/解码、完整预算、重复、种子和统计字段仍须N5/N6原文精读</x:v>
      </x:c>
      <x:c r="AY26" s="27" t="str">
        <x:v>direct evidence</x:v>
      </x:c>
      <x:c r="AZ26" s="27" t="str">
        <x:v>direct</x:v>
      </x:c>
      <x:c r="BA26" s="27" t="str">
        <x:v>First-pass complete</x:v>
      </x:c>
      <x:c r="BB26" s="27" t="str">
        <x:v>OK</x:v>
      </x:c>
    </x:row>
    <x:row r="27" ht="66" hidden="0" customHeight="1">
      <x:c r="A27" s="27" t="str">
        <x:v>L024-E01</x:v>
      </x:c>
      <x:c r="B27" s="27" t="str">
        <x:v>L024</x:v>
      </x:c>
      <x:c r="C27" s="27" t="str">
        <x:v>B024；直接：引言“多周期循环任务指派和全局无碰撞路径规划”“下一周期”；限制：随机模型未报告</x:v>
      </x:c>
      <x:c r="D27" s="27" t="str">
        <x:v>Original-source verified</x:v>
      </x:c>
      <x:c r="E27" s="27" t="str">
        <x:v>仓储；动/未报</x:v>
      </x:c>
      <x:c r="F27" s="27" t="str">
        <x:v>warehouse</x:v>
      </x:c>
      <x:c r="G27" s="27" t="str">
        <x:v>combination</x:v>
      </x:c>
      <x:c r="H27" s="27" t="str">
        <x:v>周期任务；AGV；路网</x:v>
      </x:c>
      <x:c r="I27" s="27" t="str">
        <x:v>车辆/任务分配；路径规划；冲突控制</x:v>
      </x:c>
      <x:c r="J27" s="27" t="str">
        <x:v>效率；安全；计算成本</x:v>
      </x:c>
      <x:c r="K27" s="27" t="str">
        <x:v>有限路网；AGV时变状态；无碰撞；秒级决策</x:v>
      </x:c>
      <x:c r="L27" s="27" t="str">
        <x:v>见原文；未显式报告者不补猜</x:v>
      </x:c>
      <x:c r="M27" s="27" t="str">
        <x:v>other</x:v>
      </x:c>
      <x:c r="N27" s="27" t="str">
        <x:v>online</x:v>
      </x:c>
      <x:c r="O27" s="27" t="str">
        <x:v>新任务/周期到达；碰撞风险</x:v>
      </x:c>
      <x:c r="P27" s="27" t="str">
        <x:v>新任务/周期到达；碰撞风险</x:v>
      </x:c>
      <x:c r="Q27" s="27" t="str">
        <x:v>动/未报</x:v>
      </x:c>
      <x:c r="R27" s="27" t="str">
        <x:v>not reported</x:v>
      </x:c>
      <x:c r="S27" s="27" t="str">
        <x:v>周期任务；AGV；路网</x:v>
      </x:c>
      <x:c r="T27" s="27" t="str">
        <x:v>见动态处理/恢复决策字段</x:v>
      </x:c>
      <x:c r="U27" s="27" t="str">
        <x:v>joint</x:v>
      </x:c>
      <x:c r="V27" s="27" t="str">
        <x:v>hybrid</x:v>
      </x:c>
      <x:c r="W27" s="27" t="str">
        <x:v>safety</x:v>
      </x:c>
      <x:c r="X27" s="27" t="str">
        <x:v>路径/任务相邻研究；原分类=混合；动/未报</x:v>
      </x:c>
      <x:c r="Y27" s="27" t="str">
        <x:v>分支切割＋双重优先启发式；在线任务指派与无碰撞路径</x:v>
      </x:c>
      <x:c r="Z27" s="27" t="str">
        <x:v>待N5逐篇拆分解码/环境转移</x:v>
      </x:c>
      <x:c r="AA27" s="27" t="str">
        <x:v>待N5逐篇拆分修复/冲突处理</x:v>
      </x:c>
      <x:c r="AB27" s="27" t="str">
        <x:v>待N6抽取</x:v>
      </x:c>
      <x:c r="AC27" s="27" t="str">
        <x:v>分支切割＋双重优先启发式；在线任务指派与无碰撞路径</x:v>
      </x:c>
      <x:c r="AD27" s="27" t="str">
        <x:v>见算法名称与职责；具体插入点待N5抽取</x:v>
      </x:c>
      <x:c r="AE27" s="27" t="str">
        <x:v>12组及96组实验；下界/gap和秒级决策</x:v>
      </x:c>
      <x:c r="AF27" s="27" t="str">
        <x:v>待N6抽取</x:v>
      </x:c>
      <x:c r="AG27" s="27" t="str">
        <x:v>待N6抽取</x:v>
      </x:c>
      <x:c r="AH27" s="27" t="str">
        <x:v>待N6抽取</x:v>
      </x:c>
      <x:c r="AI27" s="27" t="str">
        <x:v>待N6抽取</x:v>
      </x:c>
      <x:c r="AJ27" s="27" t="str">
        <x:v>待N6抽取</x:v>
      </x:c>
      <x:c r="AK27" s="27" t="str">
        <x:v>待N6分级</x:v>
      </x:c>
      <x:c r="AL27" s="27" t="str">
        <x:v>见文内对照；待N6标准化</x:v>
      </x:c>
      <x:c r="AM27" s="27" t="str">
        <x:v>待N6抽取</x:v>
      </x:c>
      <x:c r="AN27" s="27" t="str">
        <x:v>待N6抽取</x:v>
      </x:c>
      <x:c r="AO27" s="27" t="str">
        <x:v>待N6抽取</x:v>
      </x:c>
      <x:c r="AP27" s="27" t="str">
        <x:v>待N6抽取</x:v>
      </x:c>
      <x:c r="AQ27" s="27" t="str">
        <x:v>待N6抽取</x:v>
      </x:c>
      <x:c r="AR27" s="27" t="str">
        <x:v>效率；安全；计算成本</x:v>
      </x:c>
      <x:c r="AS27" s="27" t="str">
        <x:v>原始Markdown与N2/N4派生证据可用</x:v>
      </x:c>
      <x:c r="AT27" s="27" t="str">
        <x:v>文内结论与范围见N2引用与证据状态表</x:v>
      </x:c>
      <x:c r="AU27" s="27" t="str">
        <x:v>直接：引言“多周期循环任务指派和全局无碰撞路径规划”“下一周期”；限制：随机模型未报告；12组及96组实验；下界/gap和秒级决策</x:v>
      </x:c>
      <x:c r="AV27" s="27" t="str">
        <x:v>泛式分类仅用于全景整理，不构成当前静态创新性判断</x:v>
      </x:c>
      <x:c r="AW27" s="27" t="str">
        <x:v>随机性/事件生成机制不完整</x:v>
      </x:c>
      <x:c r="AX27" s="27" t="str">
        <x:v>算法组件已完成首轮登记；编码/解码、完整预算、重复、种子和统计字段仍须N5/N6原文精读</x:v>
      </x:c>
      <x:c r="AY27" s="27" t="str">
        <x:v>direct evidence</x:v>
      </x:c>
      <x:c r="AZ27" s="27" t="str">
        <x:v>direct</x:v>
      </x:c>
      <x:c r="BA27" s="27" t="str">
        <x:v>First-pass complete</x:v>
      </x:c>
      <x:c r="BB27" s="27" t="str">
        <x:v>OK</x:v>
      </x:c>
    </x:row>
    <x:row r="28" ht="52.79999923706055" hidden="0" customHeight="1">
      <x:c r="A28" s="27" t="str">
        <x:v>L025-E01</x:v>
      </x:c>
      <x:c r="B28" s="27" t="str">
        <x:v>L025</x:v>
      </x:c>
      <x:c r="C28" s="27" t="str">
        <x:v>B025；直接：Abstract；NSGA-II→竞争分配→A→冲突消解调用链</x:v>
      </x:c>
      <x:c r="D28" s="27" t="str">
        <x:v>Verified</x:v>
      </x:c>
      <x:c r="E28" s="27" t="str">
        <x:v>生产车间；静/确</x:v>
      </x:c>
      <x:c r="F28" s="27" t="str">
        <x:v>workshop</x:v>
      </x:c>
      <x:c r="G28" s="27" t="str">
        <x:v>combination</x:v>
      </x:c>
      <x:c r="H28" s="27" t="str">
        <x:v>工件；机器；AGV；路网</x:v>
      </x:c>
      <x:c r="I28" s="27" t="str">
        <x:v>工序排序；车辆/任务分配；路径规划；冲突控制</x:v>
      </x:c>
      <x:c r="J28" s="27" t="str">
        <x:v>效率；安全</x:v>
      </x:c>
      <x:c r="K28" s="27" t="str">
        <x:v>双向单路径；拓扑图；机器/工件/AGV约束</x:v>
      </x:c>
      <x:c r="L28" s="27" t="str">
        <x:v>见原文；未显式报告者不补猜</x:v>
      </x:c>
      <x:c r="M28" s="27" t="str">
        <x:v>static deterministic</x:v>
      </x:c>
      <x:c r="N28" s="27" t="str">
        <x:v>offline</x:v>
      </x:c>
      <x:c r="O28" s="27" t="str">
        <x:v>路径冲突风险</x:v>
      </x:c>
      <x:c r="P28" s="27" t="str">
        <x:v>路径冲突风险</x:v>
      </x:c>
      <x:c r="Q28" s="27" t="str">
        <x:v>静/确</x:v>
      </x:c>
      <x:c r="R28" s="27" t="str">
        <x:v>not reported</x:v>
      </x:c>
      <x:c r="S28" s="27" t="str">
        <x:v>工件；机器；AGV；路网</x:v>
      </x:c>
      <x:c r="T28" s="27" t="str">
        <x:v>见动态处理/恢复决策字段</x:v>
      </x:c>
      <x:c r="U28" s="27" t="str">
        <x:v>hierarchical</x:v>
      </x:c>
      <x:c r="V28" s="27" t="str">
        <x:v>hybrid</x:v>
      </x:c>
      <x:c r="W28" s="27" t="str">
        <x:v>safety</x:v>
      </x:c>
      <x:c r="X28" s="27" t="str">
        <x:v>核心车间原始研究；原分类=混合；静/确</x:v>
      </x:c>
      <x:c r="Y28" s="27" t="str">
        <x:v>NSGA-II→竞争分配→A*→冲突消解的分层调用链</x:v>
      </x:c>
      <x:c r="Z28" s="27" t="str">
        <x:v>待N5逐篇拆分解码/环境转移</x:v>
      </x:c>
      <x:c r="AA28" s="27" t="str">
        <x:v>待N5逐篇拆分修复/冲突处理</x:v>
      </x:c>
      <x:c r="AB28" s="27" t="str">
        <x:v>待N6抽取</x:v>
      </x:c>
      <x:c r="AC28" s="27" t="str">
        <x:v>NSGA-II→竞争分配→A*→冲突消解的分层调用链</x:v>
      </x:c>
      <x:c r="AD28" s="27" t="str">
        <x:v>见算法名称与职责；具体插入点待N5抽取</x:v>
      </x:c>
      <x:c r="AE28" s="27" t="str">
        <x:v>文内算例；可行方案与效率，跨论文只作定性比较</x:v>
      </x:c>
      <x:c r="AF28" s="27" t="str">
        <x:v>待N6抽取</x:v>
      </x:c>
      <x:c r="AG28" s="27" t="str">
        <x:v>待N6抽取</x:v>
      </x:c>
      <x:c r="AH28" s="27" t="str">
        <x:v>待N6抽取</x:v>
      </x:c>
      <x:c r="AI28" s="27" t="str">
        <x:v>待N6抽取</x:v>
      </x:c>
      <x:c r="AJ28" s="27" t="str">
        <x:v>待N6抽取</x:v>
      </x:c>
      <x:c r="AK28" s="27" t="str">
        <x:v>待N6分级</x:v>
      </x:c>
      <x:c r="AL28" s="27" t="str">
        <x:v>见文内对照；待N6标准化</x:v>
      </x:c>
      <x:c r="AM28" s="27" t="str">
        <x:v>待N6抽取</x:v>
      </x:c>
      <x:c r="AN28" s="27" t="str">
        <x:v>待N6抽取</x:v>
      </x:c>
      <x:c r="AO28" s="27" t="str">
        <x:v>待N6抽取</x:v>
      </x:c>
      <x:c r="AP28" s="27" t="str">
        <x:v>待N6抽取</x:v>
      </x:c>
      <x:c r="AQ28" s="27" t="str">
        <x:v>待N6抽取</x:v>
      </x:c>
      <x:c r="AR28" s="27" t="str">
        <x:v>效率；安全</x:v>
      </x:c>
      <x:c r="AS28" s="27" t="str">
        <x:v>原始Markdown与N2/N4派生证据可用</x:v>
      </x:c>
      <x:c r="AT28" s="27" t="str">
        <x:v>文内结论与范围见N2引用与证据状态表</x:v>
      </x:c>
      <x:c r="AU28" s="27" t="str">
        <x:v>直接：Abstract；NSGA-II→竞争分配→A→冲突消解调用链；文内算例；可行方案与效率，跨论文只作定性比较</x:v>
      </x:c>
      <x:c r="AV28" s="27" t="str">
        <x:v>泛式分类仅用于全景整理，不构成当前静态创新性判断</x:v>
      </x:c>
      <x:c r="AW28" s="27" t="str">
        <x:v>跨论文性能不可直接比较</x:v>
      </x:c>
      <x:c r="AX28" s="27" t="str">
        <x:v>算法组件已完成首轮登记；编码/解码、完整预算、重复、种子和统计字段仍须N5/N6原文精读</x:v>
      </x:c>
      <x:c r="AY28" s="27" t="str">
        <x:v>direct evidence</x:v>
      </x:c>
      <x:c r="AZ28" s="27" t="str">
        <x:v>direct</x:v>
      </x:c>
      <x:c r="BA28" s="27" t="str">
        <x:v>First-pass complete</x:v>
      </x:c>
      <x:c r="BB28" s="27" t="str">
        <x:v>OK</x:v>
      </x:c>
    </x:row>
    <x:row r="29" ht="52.79999923706055" hidden="0" customHeight="1">
      <x:c r="A29" s="27" t="str">
        <x:v>L026-E01</x:v>
      </x:c>
      <x:c r="B29" s="27" t="str">
        <x:v>L026</x:v>
      </x:c>
      <x:c r="C29" s="27" t="str">
        <x:v>B026；直接：Abstract；EAT/SP规则；AGV与场桥集成调度；数值实验</x:v>
      </x:c>
      <x:c r="D29" s="27" t="str">
        <x:v>Original-source verified</x:v>
      </x:c>
      <x:c r="E29" s="27" t="str">
        <x:v>自动化码头；静/确</x:v>
      </x:c>
      <x:c r="F29" s="27" t="str">
        <x:v>terminal</x:v>
      </x:c>
      <x:c r="G29" s="27" t="str">
        <x:v>combination</x:v>
      </x:c>
      <x:c r="H29" s="27" t="str">
        <x:v>集装箱任务；AGV；场桥</x:v>
      </x:c>
      <x:c r="I29" s="27" t="str">
        <x:v>运输排序；车辆/任务分配</x:v>
      </x:c>
      <x:c r="J29" s="27" t="str">
        <x:v>效率；计算成本</x:v>
      </x:c>
      <x:c r="K29" s="27" t="str">
        <x:v>双循环作业；AGV数量；场桥可用时间；任务量</x:v>
      </x:c>
      <x:c r="L29" s="27" t="str">
        <x:v>见原文；未显式报告者不补猜</x:v>
      </x:c>
      <x:c r="M29" s="27" t="str">
        <x:v>static deterministic</x:v>
      </x:c>
      <x:c r="N29" s="27" t="str">
        <x:v>offline</x:v>
      </x:c>
      <x:c r="O29" s="27" t="str">
        <x:v>无事件</x:v>
      </x:c>
      <x:c r="P29" s="27" t="str">
        <x:v>无事件</x:v>
      </x:c>
      <x:c r="Q29" s="27" t="str">
        <x:v>静/确</x:v>
      </x:c>
      <x:c r="R29" s="27" t="str">
        <x:v>not reported</x:v>
      </x:c>
      <x:c r="S29" s="27" t="str">
        <x:v>集装箱任务；AGV；场桥</x:v>
      </x:c>
      <x:c r="T29" s="27" t="str">
        <x:v>见动态处理/恢复决策字段</x:v>
      </x:c>
      <x:c r="U29" s="27" t="str">
        <x:v>joint</x:v>
      </x:c>
      <x:c r="V29" s="27" t="str">
        <x:v>hybrid</x:v>
      </x:c>
      <x:c r="W29" s="27" t="str">
        <x:v>computational cost</x:v>
      </x:c>
      <x:c r="X29" s="27" t="str">
        <x:v>路径/任务相邻研究；原分类=混合；静/确</x:v>
      </x:c>
      <x:c r="Y29" s="27" t="str">
        <x:v>EAT/SP规则；AGV与场桥集成调度</x:v>
      </x:c>
      <x:c r="Z29" s="27" t="str">
        <x:v>待N5逐篇拆分解码/环境转移</x:v>
      </x:c>
      <x:c r="AA29" s="27" t="str">
        <x:v>待N5逐篇拆分修复/冲突处理</x:v>
      </x:c>
      <x:c r="AB29" s="27" t="str">
        <x:v>待N6抽取</x:v>
      </x:c>
      <x:c r="AC29" s="27" t="str">
        <x:v>EAT/SP规则；AGV与场桥集成调度</x:v>
      </x:c>
      <x:c r="AD29" s="27" t="str">
        <x:v>见算法名称与职责；具体插入点待N5抽取</x:v>
      </x:c>
      <x:c r="AE29" s="27" t="str">
        <x:v>数值实验；均值、最小值、标准差和求解时间</x:v>
      </x:c>
      <x:c r="AF29" s="27" t="str">
        <x:v>待N6抽取</x:v>
      </x:c>
      <x:c r="AG29" s="27" t="str">
        <x:v>待N6抽取</x:v>
      </x:c>
      <x:c r="AH29" s="27" t="str">
        <x:v>待N6抽取</x:v>
      </x:c>
      <x:c r="AI29" s="27" t="str">
        <x:v>待N6抽取</x:v>
      </x:c>
      <x:c r="AJ29" s="27" t="str">
        <x:v>待N6抽取</x:v>
      </x:c>
      <x:c r="AK29" s="27" t="str">
        <x:v>待N6分级</x:v>
      </x:c>
      <x:c r="AL29" s="27" t="str">
        <x:v>见文内对照；待N6标准化</x:v>
      </x:c>
      <x:c r="AM29" s="27" t="str">
        <x:v>待N6抽取</x:v>
      </x:c>
      <x:c r="AN29" s="27" t="str">
        <x:v>待N6抽取</x:v>
      </x:c>
      <x:c r="AO29" s="27" t="str">
        <x:v>待N6抽取</x:v>
      </x:c>
      <x:c r="AP29" s="27" t="str">
        <x:v>待N6抽取</x:v>
      </x:c>
      <x:c r="AQ29" s="27" t="str">
        <x:v>待N6抽取</x:v>
      </x:c>
      <x:c r="AR29" s="27" t="str">
        <x:v>效率；计算成本</x:v>
      </x:c>
      <x:c r="AS29" s="27" t="str">
        <x:v>原始Markdown与N2/N4派生证据可用</x:v>
      </x:c>
      <x:c r="AT29" s="27" t="str">
        <x:v>文内结论与范围见N2引用与证据状态表</x:v>
      </x:c>
      <x:c r="AU29" s="27" t="str">
        <x:v>直接：Abstract；EAT/SP规则；AGV与场桥集成调度；数值实验；数值实验；均值、最小值、标准差和求解时间</x:v>
      </x:c>
      <x:c r="AV29" s="27" t="str">
        <x:v>泛式分类仅用于全景整理，不构成当前静态创新性判断</x:v>
      </x:c>
      <x:c r="AW29" s="27" t="str">
        <x:v>跨论文性能不可直接比较</x:v>
      </x:c>
      <x:c r="AX29" s="27" t="str">
        <x:v>算法组件已完成首轮登记；编码/解码、完整预算、重复、种子和统计字段仍须N5/N6原文精读</x:v>
      </x:c>
      <x:c r="AY29" s="27" t="str">
        <x:v>direct evidence</x:v>
      </x:c>
      <x:c r="AZ29" s="27" t="str">
        <x:v>direct</x:v>
      </x:c>
      <x:c r="BA29" s="27" t="str">
        <x:v>First-pass complete</x:v>
      </x:c>
      <x:c r="BB29" s="27" t="str">
        <x:v>OK</x:v>
      </x:c>
    </x:row>
    <x:row r="30" ht="132" hidden="0" customHeight="1">
      <x:c r="A30" s="27" t="str">
        <x:v>L027-E01</x:v>
      </x:c>
      <x:c r="B30" s="27" t="str">
        <x:v>L027</x:v>
      </x:c>
      <x:c r="C30" s="27" t="str">
        <x:v>B027；直接：Abstract；`AGV scheduling`；决策变量 `M_agv`；新订单和工时变化服从概率分布；限制：动作规则明确选择工序/机器，但是否独立分配AGV不清楚</x:v>
      </x:c>
      <x:c r="D30" s="27" t="str">
        <x:v>Verified</x:v>
      </x:c>
      <x:c r="E30" s="27" t="str">
        <x:v>生产车间；动/随</x:v>
      </x:c>
      <x:c r="F30" s="27" t="str">
        <x:v>workshop</x:v>
      </x:c>
      <x:c r="G30" s="27" t="str">
        <x:v>combination</x:v>
      </x:c>
      <x:c r="H30" s="27" t="str">
        <x:v>工件；机器；AGV</x:v>
      </x:c>
      <x:c r="I30" s="27" t="str">
        <x:v>工序排序；机器分配；恢复决策</x:v>
      </x:c>
      <x:c r="J30" s="27" t="str">
        <x:v>效率；鲁棒性；多目标组合</x:v>
      </x:c>
      <x:c r="K30" s="27" t="str">
        <x:v>工序优先；机器可选/占用；AGV可用/配置状态；运输时间；事件触发</x:v>
      </x:c>
      <x:c r="L30" s="27" t="str">
        <x:v>见原文；未显式报告者不补猜</x:v>
      </x:c>
      <x:c r="M30" s="27" t="str">
        <x:v>dynamic stochastic</x:v>
      </x:c>
      <x:c r="N30" s="27" t="str">
        <x:v>online</x:v>
      </x:c>
      <x:c r="O30" s="27" t="str">
        <x:v>机器故障；新订单；加工时间变化</x:v>
      </x:c>
      <x:c r="P30" s="27" t="str">
        <x:v>机器故障；新订单；加工时间变化</x:v>
      </x:c>
      <x:c r="Q30" s="27" t="str">
        <x:v>动/随</x:v>
      </x:c>
      <x:c r="R30" s="27" t="str">
        <x:v>not reported</x:v>
      </x:c>
      <x:c r="S30" s="27" t="str">
        <x:v>工件；机器；AGV</x:v>
      </x:c>
      <x:c r="T30" s="27" t="str">
        <x:v>见动态处理/恢复决策字段</x:v>
      </x:c>
      <x:c r="U30" s="27" t="str">
        <x:v>unclear</x:v>
      </x:c>
      <x:c r="V30" s="27" t="str">
        <x:v>hybrid</x:v>
      </x:c>
      <x:c r="W30" s="27" t="str">
        <x:v>multi-objective combination</x:v>
      </x:c>
      <x:c r="X30" s="27" t="str">
        <x:v>核心车间原始研究；原分类=混合；动/随</x:v>
      </x:c>
      <x:c r="Y30" s="27" t="str">
        <x:v>MachineRank＋强化学习/D3QN；七种复合调度动作</x:v>
      </x:c>
      <x:c r="Z30" s="27" t="str">
        <x:v>待N5逐篇拆分解码/环境转移</x:v>
      </x:c>
      <x:c r="AA30" s="27" t="str">
        <x:v>待N5逐篇拆分修复/冲突处理</x:v>
      </x:c>
      <x:c r="AB30" s="27" t="str">
        <x:v>待N6抽取</x:v>
      </x:c>
      <x:c r="AC30" s="27" t="str">
        <x:v>MachineRank＋强化学习/D3QN；七种复合调度动作</x:v>
      </x:c>
      <x:c r="AD30" s="27" t="str">
        <x:v>见算法名称与职责；具体插入点待N5抽取</x:v>
      </x:c>
      <x:c r="AE30" s="27" t="str">
        <x:v>多扰动数值实验；规则和基线对比；概率生成见原文</x:v>
      </x:c>
      <x:c r="AF30" s="27" t="str">
        <x:v>待N6抽取</x:v>
      </x:c>
      <x:c r="AG30" s="27" t="str">
        <x:v>待N6抽取</x:v>
      </x:c>
      <x:c r="AH30" s="27" t="str">
        <x:v>待N6抽取</x:v>
      </x:c>
      <x:c r="AI30" s="27" t="str">
        <x:v>待N6抽取</x:v>
      </x:c>
      <x:c r="AJ30" s="27" t="str">
        <x:v>待N6抽取</x:v>
      </x:c>
      <x:c r="AK30" s="27" t="str">
        <x:v>待N6分级</x:v>
      </x:c>
      <x:c r="AL30" s="27" t="str">
        <x:v>见文内对照；待N6标准化</x:v>
      </x:c>
      <x:c r="AM30" s="27" t="str">
        <x:v>待N6抽取</x:v>
      </x:c>
      <x:c r="AN30" s="27" t="str">
        <x:v>待N6抽取</x:v>
      </x:c>
      <x:c r="AO30" s="27" t="str">
        <x:v>待N6抽取</x:v>
      </x:c>
      <x:c r="AP30" s="27" t="str">
        <x:v>待N6抽取</x:v>
      </x:c>
      <x:c r="AQ30" s="27" t="str">
        <x:v>待N6抽取</x:v>
      </x:c>
      <x:c r="AR30" s="27" t="str">
        <x:v>效率；鲁棒性；多目标组合</x:v>
      </x:c>
      <x:c r="AS30" s="27" t="str">
        <x:v>原始Markdown与N2/N4派生证据可用</x:v>
      </x:c>
      <x:c r="AT30" s="27" t="str">
        <x:v>文内结论与范围见N2引用与证据状态表</x:v>
      </x:c>
      <x:c r="AU30" s="27" t="str">
        <x:v>直接：Abstract；`AGV scheduling`；决策变量 `M_agv`；新订单和工时变化服从概率分布；限制：动作规则明确选择工序/机器，但是否独立分配AGV不清楚；多扰动数值实验；规则和基线对比；概率生成见原文</x:v>
      </x:c>
      <x:c r="AV30" s="27" t="str">
        <x:v>泛式分类仅用于全景整理，不构成当前静态创新性判断</x:v>
      </x:c>
      <x:c r="AW30" s="27" t="str">
        <x:v>跨论文性能不可直接比较</x:v>
      </x:c>
      <x:c r="AX30" s="27" t="str">
        <x:v>算法组件已完成首轮登记；编码/解码、完整预算、重复、种子和统计字段仍须N5/N6原文精读</x:v>
      </x:c>
      <x:c r="AY30" s="27" t="str">
        <x:v>direct evidence</x:v>
      </x:c>
      <x:c r="AZ30" s="27" t="str">
        <x:v>direct</x:v>
      </x:c>
      <x:c r="BA30" s="27" t="str">
        <x:v>First-pass complete</x:v>
      </x:c>
      <x:c r="BB30" s="27" t="str">
        <x:v>OK</x:v>
      </x:c>
    </x:row>
    <x:row r="31" ht="79.19999694824219" hidden="0" customHeight="1">
      <x:c r="A31" s="27" t="str">
        <x:v>L028-E01</x:v>
      </x:c>
      <x:c r="B31" s="27" t="str">
        <x:v>L028</x:v>
      </x:c>
      <x:c r="C31" s="27" t="str">
        <x:v>B028；直接：Keywords；Introduction；`successive multiple rescheduling`；GA+VNS；限制：未见同时事件模型</x:v>
      </x:c>
      <x:c r="D31" s="27" t="str">
        <x:v>Verified</x:v>
      </x:c>
      <x:c r="E31" s="27" t="str">
        <x:v>生产车间；动/确</x:v>
      </x:c>
      <x:c r="F31" s="27" t="str">
        <x:v>workshop</x:v>
      </x:c>
      <x:c r="G31" s="27" t="str">
        <x:v>combination</x:v>
      </x:c>
      <x:c r="H31" s="27" t="str">
        <x:v>工件；机器；运输机器人；能源</x:v>
      </x:c>
      <x:c r="I31" s="27" t="str">
        <x:v>工序排序；机器分配；车辆/任务分配；充电决策；恢复决策</x:v>
      </x:c>
      <x:c r="J31" s="27" t="str">
        <x:v>效率；稳定性；多目标组合</x:v>
      </x:c>
      <x:c r="K31" s="27" t="str">
        <x:v>工序优先；机器/机器人不可用；状态继承；电池/充电</x:v>
      </x:c>
      <x:c r="L31" s="27" t="str">
        <x:v>见原文；未显式报告者不补猜</x:v>
      </x:c>
      <x:c r="M31" s="27" t="str">
        <x:v>dynamic deterministic</x:v>
      </x:c>
      <x:c r="N31" s="27" t="str">
        <x:v>online</x:v>
      </x:c>
      <x:c r="O31" s="27" t="str">
        <x:v>机器故障；AGV/机器人故障；新订单；充电维护</x:v>
      </x:c>
      <x:c r="P31" s="27" t="str">
        <x:v>机器故障；AGV/机器人故障；新订单；充电维护</x:v>
      </x:c>
      <x:c r="Q31" s="27" t="str">
        <x:v>动/确</x:v>
      </x:c>
      <x:c r="R31" s="27" t="str">
        <x:v>not reported</x:v>
      </x:c>
      <x:c r="S31" s="27" t="str">
        <x:v>工件；机器；运输机器人；能源</x:v>
      </x:c>
      <x:c r="T31" s="27" t="str">
        <x:v>见动态处理/恢复决策字段</x:v>
      </x:c>
      <x:c r="U31" s="27" t="str">
        <x:v>joint</x:v>
      </x:c>
      <x:c r="V31" s="27" t="str">
        <x:v>hybrid</x:v>
      </x:c>
      <x:c r="W31" s="27" t="str">
        <x:v>multi-objective combination</x:v>
      </x:c>
      <x:c r="X31" s="27" t="str">
        <x:v>核心车间原始研究；原分类=混合；动/确</x:v>
      </x:c>
      <x:c r="Y31" s="27" t="str">
        <x:v>GA＋VNS模因算法；连续多次重调度</x:v>
      </x:c>
      <x:c r="Z31" s="27" t="str">
        <x:v>待N5逐篇拆分解码/环境转移</x:v>
      </x:c>
      <x:c r="AA31" s="27" t="str">
        <x:v>待N5逐篇拆分修复/冲突处理</x:v>
      </x:c>
      <x:c r="AB31" s="27" t="str">
        <x:v>待N6抽取</x:v>
      </x:c>
      <x:c r="AC31" s="27" t="str">
        <x:v>GA＋VNS模因算法；连续多次重调度</x:v>
      </x:c>
      <x:c r="AD31" s="27" t="str">
        <x:v>见算法名称与职责；具体插入点待N5抽取</x:v>
      </x:c>
      <x:c r="AE31" s="27" t="str">
        <x:v>EMK等算例；机器/机器人故障、插单和充电的连续重调度</x:v>
      </x:c>
      <x:c r="AF31" s="27" t="str">
        <x:v>待N6抽取</x:v>
      </x:c>
      <x:c r="AG31" s="27" t="str">
        <x:v>待N6抽取</x:v>
      </x:c>
      <x:c r="AH31" s="27" t="str">
        <x:v>待N6抽取</x:v>
      </x:c>
      <x:c r="AI31" s="27" t="str">
        <x:v>待N6抽取</x:v>
      </x:c>
      <x:c r="AJ31" s="27" t="str">
        <x:v>待N6抽取</x:v>
      </x:c>
      <x:c r="AK31" s="27" t="str">
        <x:v>待N6分级</x:v>
      </x:c>
      <x:c r="AL31" s="27" t="str">
        <x:v>见文内对照；待N6标准化</x:v>
      </x:c>
      <x:c r="AM31" s="27" t="str">
        <x:v>待N6抽取</x:v>
      </x:c>
      <x:c r="AN31" s="27" t="str">
        <x:v>待N6抽取</x:v>
      </x:c>
      <x:c r="AO31" s="27" t="str">
        <x:v>待N6抽取</x:v>
      </x:c>
      <x:c r="AP31" s="27" t="str">
        <x:v>待N6抽取</x:v>
      </x:c>
      <x:c r="AQ31" s="27" t="str">
        <x:v>待N6抽取</x:v>
      </x:c>
      <x:c r="AR31" s="27" t="str">
        <x:v>效率；稳定性；多目标组合</x:v>
      </x:c>
      <x:c r="AS31" s="27" t="str">
        <x:v>原始Markdown与N2/N4派生证据可用</x:v>
      </x:c>
      <x:c r="AT31" s="27" t="str">
        <x:v>文内结论与范围见N2引用与证据状态表</x:v>
      </x:c>
      <x:c r="AU31" s="27" t="str">
        <x:v>直接：Keywords；Introduction；`successive multiple rescheduling`；GA+VNS；限制：未见同时事件模型；EMK等算例；机器/机器人故障、插单和充电的连续重调度</x:v>
      </x:c>
      <x:c r="AV31" s="27" t="str">
        <x:v>泛式分类仅用于全景整理，不构成当前静态创新性判断</x:v>
      </x:c>
      <x:c r="AW31" s="27" t="str">
        <x:v>跨论文性能不可直接比较</x:v>
      </x:c>
      <x:c r="AX31" s="27" t="str">
        <x:v>算法组件已完成首轮登记；编码/解码、完整预算、重复、种子和统计字段仍须N5/N6原文精读</x:v>
      </x:c>
      <x:c r="AY31" s="27" t="str">
        <x:v>direct evidence</x:v>
      </x:c>
      <x:c r="AZ31" s="27" t="str">
        <x:v>direct</x:v>
      </x:c>
      <x:c r="BA31" s="27" t="str">
        <x:v>First-pass complete</x:v>
      </x:c>
      <x:c r="BB31" s="27" t="str">
        <x:v>OK</x:v>
      </x:c>
    </x:row>
    <x:row r="32" ht="92.4000015258789" hidden="0" customHeight="1">
      <x:c r="A32" s="27" t="str">
        <x:v>L029-E01</x:v>
      </x:c>
      <x:c r="B32" s="27" t="str">
        <x:v>L029</x:v>
      </x:c>
      <x:c r="C32" s="27" t="str">
        <x:v>B029；直接：Abstract；`machine failure interference`；right-shift/complete rescheduling；限制：不含AGV</x:v>
      </x:c>
      <x:c r="D32" s="27" t="str">
        <x:v>Verified</x:v>
      </x:c>
      <x:c r="E32" s="27" t="str">
        <x:v>生产车间；动/确</x:v>
      </x:c>
      <x:c r="F32" s="27" t="str">
        <x:v>workshop</x:v>
      </x:c>
      <x:c r="G32" s="27" t="str">
        <x:v>combination</x:v>
      </x:c>
      <x:c r="H32" s="27" t="str">
        <x:v>工件；机器</x:v>
      </x:c>
      <x:c r="I32" s="27" t="str">
        <x:v>工序排序；机器分配；恢复决策</x:v>
      </x:c>
      <x:c r="J32" s="27" t="str">
        <x:v>效率；稳定性</x:v>
      </x:c>
      <x:c r="K32" s="27" t="str">
        <x:v>工序优先；故障周期不可用；右移/完全重调度；稳定性</x:v>
      </x:c>
      <x:c r="L32" s="27" t="str">
        <x:v>见原文；未显式报告者不补猜</x:v>
      </x:c>
      <x:c r="M32" s="27" t="str">
        <x:v>dynamic deterministic</x:v>
      </x:c>
      <x:c r="N32" s="27" t="str">
        <x:v>online</x:v>
      </x:c>
      <x:c r="O32" s="27" t="str">
        <x:v>机器故障</x:v>
      </x:c>
      <x:c r="P32" s="27" t="str">
        <x:v>机器故障</x:v>
      </x:c>
      <x:c r="Q32" s="27" t="str">
        <x:v>动/确</x:v>
      </x:c>
      <x:c r="R32" s="27" t="str">
        <x:v>not reported</x:v>
      </x:c>
      <x:c r="S32" s="27" t="str">
        <x:v>工件；机器</x:v>
      </x:c>
      <x:c r="T32" s="27" t="str">
        <x:v>见动态处理/恢复决策字段</x:v>
      </x:c>
      <x:c r="U32" s="27" t="str">
        <x:v>unclear</x:v>
      </x:c>
      <x:c r="V32" s="27" t="str">
        <x:v>metaheuristic</x:v>
      </x:c>
      <x:c r="W32" s="27" t="str">
        <x:v>robustness</x:v>
      </x:c>
      <x:c r="X32" s="27" t="str">
        <x:v>动态机器相邻研究；原分类=元启发式；动/确</x:v>
      </x:c>
      <x:c r="Y32" s="27" t="str">
        <x:v>遗传算法；右移与完全重调度</x:v>
      </x:c>
      <x:c r="Z32" s="27" t="str">
        <x:v>待N5逐篇拆分解码/环境转移</x:v>
      </x:c>
      <x:c r="AA32" s="27" t="str">
        <x:v>待N5逐篇拆分修复/冲突处理</x:v>
      </x:c>
      <x:c r="AB32" s="27" t="str">
        <x:v>待N6抽取</x:v>
      </x:c>
      <x:c r="AC32" s="27" t="str">
        <x:v>遗传算法；右移与完全重调度</x:v>
      </x:c>
      <x:c r="AD32" s="27" t="str">
        <x:v>见算法名称与职责；具体插入点待N5抽取</x:v>
      </x:c>
      <x:c r="AE32" s="27" t="str">
        <x:v>机器故障算例；延误率；右移与完全重调度比较</x:v>
      </x:c>
      <x:c r="AF32" s="27" t="str">
        <x:v>待N6抽取</x:v>
      </x:c>
      <x:c r="AG32" s="27" t="str">
        <x:v>待N6抽取</x:v>
      </x:c>
      <x:c r="AH32" s="27" t="str">
        <x:v>待N6抽取</x:v>
      </x:c>
      <x:c r="AI32" s="27" t="str">
        <x:v>待N6抽取</x:v>
      </x:c>
      <x:c r="AJ32" s="27" t="str">
        <x:v>待N6抽取</x:v>
      </x:c>
      <x:c r="AK32" s="27" t="str">
        <x:v>待N6分级</x:v>
      </x:c>
      <x:c r="AL32" s="27" t="str">
        <x:v>见文内对照；待N6标准化</x:v>
      </x:c>
      <x:c r="AM32" s="27" t="str">
        <x:v>待N6抽取</x:v>
      </x:c>
      <x:c r="AN32" s="27" t="str">
        <x:v>待N6抽取</x:v>
      </x:c>
      <x:c r="AO32" s="27" t="str">
        <x:v>待N6抽取</x:v>
      </x:c>
      <x:c r="AP32" s="27" t="str">
        <x:v>待N6抽取</x:v>
      </x:c>
      <x:c r="AQ32" s="27" t="str">
        <x:v>待N6抽取</x:v>
      </x:c>
      <x:c r="AR32" s="27" t="str">
        <x:v>效率；稳定性</x:v>
      </x:c>
      <x:c r="AS32" s="27" t="str">
        <x:v>原始Markdown与N2/N4派生证据可用</x:v>
      </x:c>
      <x:c r="AT32" s="27" t="str">
        <x:v>文内结论与范围见N2引用与证据状态表</x:v>
      </x:c>
      <x:c r="AU32" s="27" t="str">
        <x:v>直接：Abstract；`machine failure interference`；right-shift/complete rescheduling；限制：不含AGV；机器故障算例；延误率；右移与完全重调度比较</x:v>
      </x:c>
      <x:c r="AV32" s="27" t="str">
        <x:v>泛式分类仅用于全景整理，不构成当前静态创新性判断</x:v>
      </x:c>
      <x:c r="AW32" s="27" t="str">
        <x:v>跨论文性能不可直接比较</x:v>
      </x:c>
      <x:c r="AX32" s="27" t="str">
        <x:v>算法组件已完成首轮登记；编码/解码、完整预算、重复、种子和统计字段仍须N5/N6原文精读</x:v>
      </x:c>
      <x:c r="AY32" s="27" t="str">
        <x:v>direct evidence</x:v>
      </x:c>
      <x:c r="AZ32" s="27" t="str">
        <x:v>direct</x:v>
      </x:c>
      <x:c r="BA32" s="27" t="str">
        <x:v>First-pass complete</x:v>
      </x:c>
      <x:c r="BB32" s="27" t="str">
        <x:v>OK</x:v>
      </x:c>
    </x:row>
  </x:sheetData>
  <x:mergeCells>
    <x:mergeCell ref="A1:BB1"/>
    <x:mergeCell ref="A2:BB2"/>
  </x:mergeCells>
  <x:dataValidations count="10">
    <x:dataValidation type="list" sqref="F4:F24">
      <x:formula1>"workshop,warehouse,terminal,transport,other,not reported,unclear"</x:formula1>
    </x:dataValidation>
    <x:dataValidation type="list" sqref="G4:G24">
      <x:formula1>"operation sequence,machine assignment,vehicle assignment,route,speed,charging,maintenance,combination,other,not reported,unclear"</x:formula1>
    </x:dataValidation>
    <x:dataValidation type="list" sqref="M4:M24">
      <x:formula1>"static deterministic,static stochastic,dynamic deterministic,dynamic stochastic,not reported,unclear"</x:formula1>
    </x:dataValidation>
    <x:dataValidation type="list" sqref="P4:P24">
      <x:formula1>"none,machine failure,new order,order cancellation,processing-time variation,vehicle failure,congestion,other,not reported,unclear"</x:formula1>
    </x:dataValidation>
    <x:dataValidation type="list" sqref="U4:U24">
      <x:formula1>"joint,iterative,hierarchical,sequential,not reported,unclear"</x:formula1>
    </x:dataValidation>
    <x:dataValidation type="list" sqref="V4:V24">
      <x:formula1>"exact,heuristic,metaheuristic,learning-based,hybrid,not reported,unclear"</x:formula1>
    </x:dataValidation>
    <x:dataValidation type="list" sqref="W4:W24">
      <x:formula1>"efficiency,stability,robustness,energy,safety,computational cost,multi-objective combination,not reported,unclear"</x:formula1>
    </x:dataValidation>
    <x:dataValidation type="list" sqref="AY4:AY24">
      <x:formula1>"author conclusion,secondary claim,direct evidence,AI inference,limitation,unresolved"</x:formula1>
    </x:dataValidation>
    <x:dataValidation type="list" sqref="AZ4:AZ24">
      <x:formula1>"direct,indirect,speculative,not assessed"</x:formula1>
    </x:dataValidation>
    <x:dataValidation type="list" sqref="BA4:BA24">
      <x:formula1>"Not started,In progress,Awaiting approval,Complete,Retired"</x:formula1>
    </x:dataValidation>
  </x:dataValidations>
  <x:pageMargins left="0.7" right="0.7" top="0.75" bottom="0.75" header="0.3" footer="0.3"/>
  <x:tableParts count="1">
    <x:tablePart xmlns:r="http://schemas.openxmlformats.org/officeDocument/2006/relationships" r:id="Rda75840bcc854de8"/>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16" hidden="0" customWidth="1"/>
    <x:col min="3" max="3" width="44" hidden="0" customWidth="1"/>
    <x:col min="4" max="4" width="20" hidden="0" customWidth="1"/>
    <x:col min="5" max="5" width="18" hidden="0" customWidth="1"/>
    <x:col min="6" max="6" width="36" hidden="0" customWidth="1"/>
    <x:col min="7" max="7" width="40" hidden="0" customWidth="1"/>
    <x:col min="8" max="8" width="17" hidden="0" customWidth="1"/>
    <x:col min="9" max="9" width="15" hidden="0" customWidth="1"/>
  </x:cols>
  <x:sheetData>
    <x:row r="1" ht="26" customHeight="1">
      <x:c r="A1" s="53" t="str">
        <x:v>Claim Map</x:v>
      </x:c>
      <x:c r="B1" s="54"/>
      <x:c r="C1" s="54"/>
      <x:c r="D1" s="54"/>
      <x:c r="E1" s="54"/>
      <x:c r="F1" s="54"/>
      <x:c r="G1" s="54"/>
      <x:c r="H1" s="54"/>
      <x:c r="I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8"/>
    </x:row>
    <x:row r="3" ht="36" customHeight="1">
      <x:c r="A3" s="62" t="str">
        <x:v>Claim ID</x:v>
      </x:c>
      <x:c r="B3" s="63" t="str">
        <x:v>Evidence ID</x:v>
      </x:c>
      <x:c r="C3" s="63" t="str">
        <x:v>Claim text</x:v>
      </x:c>
      <x:c r="D3" s="63" t="str">
        <x:v>Evidence class</x:v>
      </x:c>
      <x:c r="E3" s="63" t="str">
        <x:v>Evidence strength</x:v>
      </x:c>
      <x:c r="F3" s="63" t="str">
        <x:v>Permitted wording</x:v>
      </x:c>
      <x:c r="G3" s="63" t="str">
        <x:v>Comparison / limitation</x:v>
      </x:c>
      <x:c r="H3" s="63" t="str">
        <x:v>Review status</x:v>
      </x:c>
      <x:c r="I3" s="64" t="str">
        <x:v>ID check</x:v>
      </x:c>
    </x:row>
    <x:row r="4">
      <x:c r="A4"/>
      <x:c r="B4"/>
      <x:c r="C4"/>
      <x:c r="D4"/>
      <x:c r="E4"/>
      <x:c r="F4"/>
      <x:c r="G4"/>
      <x:c r="H4"/>
      <x:c r="I4"/>
    </x:row>
    <x:row r="5">
      <x:c r="A5"/>
      <x:c r="B5"/>
      <x:c r="C5"/>
      <x:c r="D5"/>
      <x:c r="E5"/>
      <x:c r="F5"/>
      <x:c r="G5"/>
      <x:c r="H5"/>
      <x:c r="I5"/>
    </x:row>
    <x:row r="6">
      <x:c r="A6"/>
      <x:c r="B6"/>
      <x:c r="C6"/>
      <x:c r="D6"/>
      <x:c r="E6"/>
      <x:c r="F6"/>
      <x:c r="G6"/>
      <x:c r="H6"/>
      <x:c r="I6"/>
    </x:row>
    <x:row r="7">
      <x:c r="A7"/>
      <x:c r="B7"/>
      <x:c r="C7"/>
      <x:c r="D7"/>
      <x:c r="E7"/>
      <x:c r="F7"/>
      <x:c r="G7"/>
      <x:c r="H7"/>
      <x:c r="I7"/>
    </x:row>
    <x:row r="8">
      <x:c r="A8"/>
      <x:c r="B8"/>
      <x:c r="C8"/>
      <x:c r="D8"/>
      <x:c r="E8"/>
      <x:c r="F8"/>
      <x:c r="G8"/>
      <x:c r="H8"/>
      <x:c r="I8"/>
    </x:row>
    <x:row r="9">
      <x:c r="A9"/>
      <x:c r="B9"/>
      <x:c r="C9"/>
      <x:c r="D9"/>
      <x:c r="E9"/>
      <x:c r="F9"/>
      <x:c r="G9"/>
      <x:c r="H9"/>
      <x:c r="I9"/>
    </x:row>
    <x:row r="10">
      <x:c r="A10"/>
      <x:c r="B10"/>
      <x:c r="C10"/>
      <x:c r="D10"/>
      <x:c r="E10"/>
      <x:c r="F10"/>
      <x:c r="G10"/>
      <x:c r="H10"/>
      <x:c r="I10"/>
    </x:row>
    <x:row r="11">
      <x:c r="A11"/>
      <x:c r="B11"/>
      <x:c r="C11"/>
      <x:c r="D11"/>
      <x:c r="E11"/>
      <x:c r="F11"/>
      <x:c r="G11"/>
      <x:c r="H11"/>
      <x:c r="I11"/>
    </x:row>
    <x:row r="12">
      <x:c r="A12"/>
      <x:c r="B12"/>
      <x:c r="C12"/>
      <x:c r="D12"/>
      <x:c r="E12"/>
      <x:c r="F12"/>
      <x:c r="G12"/>
      <x:c r="H12"/>
      <x:c r="I12"/>
    </x:row>
    <x:row r="13">
      <x:c r="A13"/>
      <x:c r="B13"/>
      <x:c r="C13"/>
      <x:c r="D13"/>
      <x:c r="E13"/>
      <x:c r="F13"/>
      <x:c r="G13"/>
      <x:c r="H13"/>
      <x:c r="I13"/>
    </x:row>
    <x:row r="14">
      <x:c r="A14"/>
      <x:c r="B14"/>
      <x:c r="C14"/>
      <x:c r="D14"/>
      <x:c r="E14"/>
      <x:c r="F14"/>
      <x:c r="G14"/>
      <x:c r="H14"/>
      <x:c r="I14"/>
    </x:row>
    <x:row r="15">
      <x:c r="A15"/>
      <x:c r="B15"/>
      <x:c r="C15"/>
      <x:c r="D15"/>
      <x:c r="E15"/>
      <x:c r="F15"/>
      <x:c r="G15"/>
      <x:c r="H15"/>
      <x:c r="I15"/>
    </x:row>
    <x:row r="16">
      <x:c r="A16"/>
      <x:c r="B16"/>
      <x:c r="C16"/>
      <x:c r="D16"/>
      <x:c r="E16"/>
      <x:c r="F16"/>
      <x:c r="G16"/>
      <x:c r="H16"/>
      <x:c r="I16"/>
    </x:row>
    <x:row r="17">
      <x:c r="A17"/>
      <x:c r="B17"/>
      <x:c r="C17"/>
      <x:c r="D17"/>
      <x:c r="E17"/>
      <x:c r="F17"/>
      <x:c r="G17"/>
      <x:c r="H17"/>
      <x:c r="I17"/>
    </x:row>
    <x:row r="18">
      <x:c r="A18"/>
      <x:c r="B18"/>
      <x:c r="C18"/>
      <x:c r="D18"/>
      <x:c r="E18"/>
      <x:c r="F18"/>
      <x:c r="G18"/>
      <x:c r="H18"/>
      <x:c r="I18"/>
    </x:row>
    <x:row r="19">
      <x:c r="A19"/>
      <x:c r="B19"/>
      <x:c r="C19"/>
      <x:c r="D19"/>
      <x:c r="E19"/>
      <x:c r="F19"/>
      <x:c r="G19"/>
      <x:c r="H19"/>
      <x:c r="I19"/>
    </x:row>
    <x:row r="20">
      <x:c r="A20"/>
      <x:c r="B20"/>
      <x:c r="C20"/>
      <x:c r="D20"/>
      <x:c r="E20"/>
      <x:c r="F20"/>
      <x:c r="G20"/>
      <x:c r="H20"/>
      <x:c r="I20"/>
    </x:row>
    <x:row r="21">
      <x:c r="A21"/>
      <x:c r="B21"/>
      <x:c r="C21"/>
      <x:c r="D21"/>
      <x:c r="E21"/>
      <x:c r="F21"/>
      <x:c r="G21"/>
      <x:c r="H21"/>
      <x:c r="I21"/>
    </x:row>
    <x:row r="22">
      <x:c r="A22"/>
      <x:c r="B22"/>
      <x:c r="C22"/>
      <x:c r="D22"/>
      <x:c r="E22"/>
      <x:c r="F22"/>
      <x:c r="G22"/>
      <x:c r="H22"/>
      <x:c r="I22"/>
    </x:row>
    <x:row r="23">
      <x:c r="A23"/>
      <x:c r="B23"/>
      <x:c r="C23"/>
      <x:c r="D23"/>
      <x:c r="E23"/>
      <x:c r="F23"/>
      <x:c r="G23"/>
      <x:c r="H23"/>
      <x:c r="I23"/>
    </x:row>
    <x:row r="24">
      <x:c r="A24"/>
      <x:c r="B24"/>
      <x:c r="C24"/>
      <x:c r="D24"/>
      <x:c r="E24"/>
      <x:c r="F24"/>
      <x:c r="G24"/>
      <x:c r="H24"/>
      <x:c r="I24"/>
    </x:row>
  </x:sheetData>
  <x:mergeCells>
    <x:mergeCell ref="A1:I1"/>
    <x:mergeCell ref="A2:I2"/>
  </x:mergeCells>
  <x:dataValidations count="3">
    <x:dataValidation type="list" sqref="D4:D24">
      <x:formula1>"author conclusion,secondary claim,direct evidence,AI inference,limitation,unresolved"</x:formula1>
    </x:dataValidation>
    <x:dataValidation type="list" sqref="E4:E24">
      <x:formula1>"direct,indirect,speculative,not assessed"</x:formula1>
    </x:dataValidation>
    <x:dataValidation type="list" sqref="H4:H24">
      <x:formula1>"Not started,In progress,Awaiting approval,Complete,Retired"</x:formula1>
    </x:dataValidation>
  </x:dataValidations>
  <x:pageMargins left="0.7" right="0.7" top="0.75" bottom="0.75" header="0.3" footer="0.3"/>
  <x:tableParts count="1">
    <x:tablePart xmlns:r="http://schemas.openxmlformats.org/officeDocument/2006/relationships" r:id="Rf21ae9da8df4423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5" hidden="0" customWidth="1"/>
    <x:col min="2" max="2" width="18" hidden="0" customWidth="1"/>
    <x:col min="3" max="3" width="18" hidden="0" customWidth="1"/>
    <x:col min="4" max="4" width="24" hidden="0" customWidth="1"/>
    <x:col min="5" max="5" width="24" hidden="0" customWidth="1"/>
    <x:col min="6" max="6" width="34" hidden="0" customWidth="1"/>
    <x:col min="7" max="7" width="31" hidden="0" customWidth="1"/>
    <x:col min="8" max="8" width="36" hidden="0" customWidth="1"/>
    <x:col min="9" max="9" width="25" hidden="0" customWidth="1"/>
    <x:col min="10" max="10" width="20" hidden="0" customWidth="1"/>
    <x:col min="11" max="11" width="34" hidden="0" customWidth="1"/>
    <x:col min="12" max="12" width="28" hidden="0" customWidth="1"/>
    <x:col min="13" max="13" width="17" hidden="0" customWidth="1"/>
    <x:col min="14" max="14" width="18" hidden="0" customWidth="1"/>
  </x:cols>
  <x:sheetData>
    <x:row r="1" ht="26" customHeight="1">
      <x:c r="A1" s="53" t="str">
        <x:v>Comparability</x:v>
      </x:c>
      <x:c r="B1" s="54"/>
      <x:c r="C1" s="54"/>
      <x:c r="D1" s="54"/>
      <x:c r="E1" s="54"/>
      <x:c r="F1" s="54"/>
      <x:c r="G1" s="54"/>
      <x:c r="H1" s="54"/>
      <x:c r="I1" s="54"/>
      <x:c r="J1" s="54"/>
      <x:c r="K1" s="54"/>
      <x:c r="L1" s="54"/>
      <x:c r="M1" s="54"/>
      <x:c r="N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7"/>
      <x:c r="J2" s="57"/>
      <x:c r="K2" s="57"/>
      <x:c r="L2" s="57"/>
      <x:c r="M2" s="57"/>
      <x:c r="N2" s="58"/>
    </x:row>
    <x:row r="3" ht="36" customHeight="1">
      <x:c r="A3" s="62" t="str">
        <x:v>Comparison ID</x:v>
      </x:c>
      <x:c r="B3" s="63" t="str">
        <x:v>Literature / evidence A</x:v>
      </x:c>
      <x:c r="C3" s="63" t="str">
        <x:v>Literature / evidence B</x:v>
      </x:c>
      <x:c r="D3" s="63" t="str">
        <x:v>Problem / objective compatible?</x:v>
      </x:c>
      <x:c r="E3" s="63" t="str">
        <x:v>Instance / scale compatible?</x:v>
      </x:c>
      <x:c r="F3" s="63" t="str">
        <x:v>Constraints / disturbance / information compatible?</x:v>
      </x:c>
      <x:c r="G3" s="63" t="str">
        <x:v>Budget / stopping condition compatible?</x:v>
      </x:c>
      <x:c r="H3" s="63" t="str">
        <x:v>Metric / normalization / reference point compatible?</x:v>
      </x:c>
      <x:c r="I3" s="63" t="str">
        <x:v>Runs / statistics compatible?</x:v>
      </x:c>
      <x:c r="J3" s="63" t="str">
        <x:v>Comparison verdict</x:v>
      </x:c>
      <x:c r="K3" s="63" t="str">
        <x:v>Reason if not DIRECT</x:v>
      </x:c>
      <x:c r="L3" s="63" t="str">
        <x:v>Permitted comparison</x:v>
      </x:c>
      <x:c r="M3" s="63" t="str">
        <x:v>Review status</x:v>
      </x:c>
      <x:c r="N3" s="64" t="str">
        <x:v>Reason check</x:v>
      </x:c>
    </x:row>
    <x:row r="4">
      <x:c r="A4"/>
      <x:c r="B4"/>
      <x:c r="C4"/>
      <x:c r="D4"/>
      <x:c r="E4"/>
      <x:c r="F4"/>
      <x:c r="G4"/>
      <x:c r="H4"/>
      <x:c r="I4"/>
      <x:c r="J4"/>
      <x:c r="K4"/>
      <x:c r="L4"/>
      <x:c r="M4"/>
      <x:c r="N4"/>
    </x:row>
    <x:row r="5">
      <x:c r="A5"/>
      <x:c r="B5"/>
      <x:c r="C5"/>
      <x:c r="D5"/>
      <x:c r="E5"/>
      <x:c r="F5"/>
      <x:c r="G5"/>
      <x:c r="H5"/>
      <x:c r="I5"/>
      <x:c r="J5"/>
      <x:c r="K5"/>
      <x:c r="L5"/>
      <x:c r="M5"/>
      <x:c r="N5"/>
    </x:row>
    <x:row r="6">
      <x:c r="A6"/>
      <x:c r="B6"/>
      <x:c r="C6"/>
      <x:c r="D6"/>
      <x:c r="E6"/>
      <x:c r="F6"/>
      <x:c r="G6"/>
      <x:c r="H6"/>
      <x:c r="I6"/>
      <x:c r="J6"/>
      <x:c r="K6"/>
      <x:c r="L6"/>
      <x:c r="M6"/>
      <x:c r="N6"/>
    </x:row>
    <x:row r="7">
      <x:c r="A7"/>
      <x:c r="B7"/>
      <x:c r="C7"/>
      <x:c r="D7"/>
      <x:c r="E7"/>
      <x:c r="F7"/>
      <x:c r="G7"/>
      <x:c r="H7"/>
      <x:c r="I7"/>
      <x:c r="J7"/>
      <x:c r="K7"/>
      <x:c r="L7"/>
      <x:c r="M7"/>
      <x:c r="N7"/>
    </x:row>
    <x:row r="8">
      <x:c r="A8"/>
      <x:c r="B8"/>
      <x:c r="C8"/>
      <x:c r="D8"/>
      <x:c r="E8"/>
      <x:c r="F8"/>
      <x:c r="G8"/>
      <x:c r="H8"/>
      <x:c r="I8"/>
      <x:c r="J8"/>
      <x:c r="K8"/>
      <x:c r="L8"/>
      <x:c r="M8"/>
      <x:c r="N8"/>
    </x:row>
    <x:row r="9">
      <x:c r="A9"/>
      <x:c r="B9"/>
      <x:c r="C9"/>
      <x:c r="D9"/>
      <x:c r="E9"/>
      <x:c r="F9"/>
      <x:c r="G9"/>
      <x:c r="H9"/>
      <x:c r="I9"/>
      <x:c r="J9"/>
      <x:c r="K9"/>
      <x:c r="L9"/>
      <x:c r="M9"/>
      <x:c r="N9"/>
    </x:row>
    <x:row r="10">
      <x:c r="A10"/>
      <x:c r="B10"/>
      <x:c r="C10"/>
      <x:c r="D10"/>
      <x:c r="E10"/>
      <x:c r="F10"/>
      <x:c r="G10"/>
      <x:c r="H10"/>
      <x:c r="I10"/>
      <x:c r="J10"/>
      <x:c r="K10"/>
      <x:c r="L10"/>
      <x:c r="M10"/>
      <x:c r="N10"/>
    </x:row>
    <x:row r="11">
      <x:c r="A11"/>
      <x:c r="B11"/>
      <x:c r="C11"/>
      <x:c r="D11"/>
      <x:c r="E11"/>
      <x:c r="F11"/>
      <x:c r="G11"/>
      <x:c r="H11"/>
      <x:c r="I11"/>
      <x:c r="J11"/>
      <x:c r="K11"/>
      <x:c r="L11"/>
      <x:c r="M11"/>
      <x:c r="N11"/>
    </x:row>
    <x:row r="12">
      <x:c r="A12"/>
      <x:c r="B12"/>
      <x:c r="C12"/>
      <x:c r="D12"/>
      <x:c r="E12"/>
      <x:c r="F12"/>
      <x:c r="G12"/>
      <x:c r="H12"/>
      <x:c r="I12"/>
      <x:c r="J12"/>
      <x:c r="K12"/>
      <x:c r="L12"/>
      <x:c r="M12"/>
      <x:c r="N12"/>
    </x:row>
    <x:row r="13">
      <x:c r="A13"/>
      <x:c r="B13"/>
      <x:c r="C13"/>
      <x:c r="D13"/>
      <x:c r="E13"/>
      <x:c r="F13"/>
      <x:c r="G13"/>
      <x:c r="H13"/>
      <x:c r="I13"/>
      <x:c r="J13"/>
      <x:c r="K13"/>
      <x:c r="L13"/>
      <x:c r="M13"/>
      <x:c r="N13"/>
    </x:row>
    <x:row r="14">
      <x:c r="A14"/>
      <x:c r="B14"/>
      <x:c r="C14"/>
      <x:c r="D14"/>
      <x:c r="E14"/>
      <x:c r="F14"/>
      <x:c r="G14"/>
      <x:c r="H14"/>
      <x:c r="I14"/>
      <x:c r="J14"/>
      <x:c r="K14"/>
      <x:c r="L14"/>
      <x:c r="M14"/>
      <x:c r="N14"/>
    </x:row>
    <x:row r="15">
      <x:c r="A15"/>
      <x:c r="B15"/>
      <x:c r="C15"/>
      <x:c r="D15"/>
      <x:c r="E15"/>
      <x:c r="F15"/>
      <x:c r="G15"/>
      <x:c r="H15"/>
      <x:c r="I15"/>
      <x:c r="J15"/>
      <x:c r="K15"/>
      <x:c r="L15"/>
      <x:c r="M15"/>
      <x:c r="N15"/>
    </x:row>
    <x:row r="16">
      <x:c r="A16"/>
      <x:c r="B16"/>
      <x:c r="C16"/>
      <x:c r="D16"/>
      <x:c r="E16"/>
      <x:c r="F16"/>
      <x:c r="G16"/>
      <x:c r="H16"/>
      <x:c r="I16"/>
      <x:c r="J16"/>
      <x:c r="K16"/>
      <x:c r="L16"/>
      <x:c r="M16"/>
      <x:c r="N16"/>
    </x:row>
    <x:row r="17">
      <x:c r="A17"/>
      <x:c r="B17"/>
      <x:c r="C17"/>
      <x:c r="D17"/>
      <x:c r="E17"/>
      <x:c r="F17"/>
      <x:c r="G17"/>
      <x:c r="H17"/>
      <x:c r="I17"/>
      <x:c r="J17"/>
      <x:c r="K17"/>
      <x:c r="L17"/>
      <x:c r="M17"/>
      <x:c r="N17"/>
    </x:row>
    <x:row r="18">
      <x:c r="A18"/>
      <x:c r="B18"/>
      <x:c r="C18"/>
      <x:c r="D18"/>
      <x:c r="E18"/>
      <x:c r="F18"/>
      <x:c r="G18"/>
      <x:c r="H18"/>
      <x:c r="I18"/>
      <x:c r="J18"/>
      <x:c r="K18"/>
      <x:c r="L18"/>
      <x:c r="M18"/>
      <x:c r="N18"/>
    </x:row>
    <x:row r="19">
      <x:c r="A19"/>
      <x:c r="B19"/>
      <x:c r="C19"/>
      <x:c r="D19"/>
      <x:c r="E19"/>
      <x:c r="F19"/>
      <x:c r="G19"/>
      <x:c r="H19"/>
      <x:c r="I19"/>
      <x:c r="J19"/>
      <x:c r="K19"/>
      <x:c r="L19"/>
      <x:c r="M19"/>
      <x:c r="N19"/>
    </x:row>
    <x:row r="20">
      <x:c r="A20"/>
      <x:c r="B20"/>
      <x:c r="C20"/>
      <x:c r="D20"/>
      <x:c r="E20"/>
      <x:c r="F20"/>
      <x:c r="G20"/>
      <x:c r="H20"/>
      <x:c r="I20"/>
      <x:c r="J20"/>
      <x:c r="K20"/>
      <x:c r="L20"/>
      <x:c r="M20"/>
      <x:c r="N20"/>
    </x:row>
    <x:row r="21">
      <x:c r="A21"/>
      <x:c r="B21"/>
      <x:c r="C21"/>
      <x:c r="D21"/>
      <x:c r="E21"/>
      <x:c r="F21"/>
      <x:c r="G21"/>
      <x:c r="H21"/>
      <x:c r="I21"/>
      <x:c r="J21"/>
      <x:c r="K21"/>
      <x:c r="L21"/>
      <x:c r="M21"/>
      <x:c r="N21"/>
    </x:row>
    <x:row r="22">
      <x:c r="A22"/>
      <x:c r="B22"/>
      <x:c r="C22"/>
      <x:c r="D22"/>
      <x:c r="E22"/>
      <x:c r="F22"/>
      <x:c r="G22"/>
      <x:c r="H22"/>
      <x:c r="I22"/>
      <x:c r="J22"/>
      <x:c r="K22"/>
      <x:c r="L22"/>
      <x:c r="M22"/>
      <x:c r="N22"/>
    </x:row>
    <x:row r="23">
      <x:c r="A23"/>
      <x:c r="B23"/>
      <x:c r="C23"/>
      <x:c r="D23"/>
      <x:c r="E23"/>
      <x:c r="F23"/>
      <x:c r="G23"/>
      <x:c r="H23"/>
      <x:c r="I23"/>
      <x:c r="J23"/>
      <x:c r="K23"/>
      <x:c r="L23"/>
      <x:c r="M23"/>
      <x:c r="N23"/>
    </x:row>
    <x:row r="24">
      <x:c r="A24"/>
      <x:c r="B24"/>
      <x:c r="C24"/>
      <x:c r="D24"/>
      <x:c r="E24"/>
      <x:c r="F24"/>
      <x:c r="G24"/>
      <x:c r="H24"/>
      <x:c r="I24"/>
      <x:c r="J24"/>
      <x:c r="K24"/>
      <x:c r="L24"/>
      <x:c r="M24"/>
      <x:c r="N24"/>
    </x:row>
  </x:sheetData>
  <x:mergeCells>
    <x:mergeCell ref="A1:N1"/>
    <x:mergeCell ref="A2:N2"/>
  </x:mergeCells>
  <x:dataValidations count="8">
    <x:dataValidation type="list" sqref="J4:J24">
      <x:formula1>"DIRECT,WITHIN-STUDY,QUALITATIVE"</x:formula1>
    </x:dataValidation>
    <x:dataValidation type="list" sqref="M4:M24">
      <x:formula1>"Not started,In progress,Awaiting approval,Complete,Retired"</x:formula1>
    </x:dataValidation>
    <x:dataValidation type="list" sqref="D4:D24">
      <x:formula1>"Yes,No,Not assessed"</x:formula1>
    </x:dataValidation>
    <x:dataValidation type="list" sqref="E4:E24">
      <x:formula1>"Yes,No,Not assessed"</x:formula1>
    </x:dataValidation>
    <x:dataValidation type="list" sqref="F4:F24">
      <x:formula1>"Yes,No,Not assessed"</x:formula1>
    </x:dataValidation>
    <x:dataValidation type="list" sqref="G4:G24">
      <x:formula1>"Yes,No,Not assessed"</x:formula1>
    </x:dataValidation>
    <x:dataValidation type="list" sqref="H4:H24">
      <x:formula1>"Yes,No,Not assessed"</x:formula1>
    </x:dataValidation>
    <x:dataValidation type="list" sqref="I4:I24">
      <x:formula1>"Yes,No,Not assessed"</x:formula1>
    </x:dataValidation>
  </x:dataValidations>
  <x:pageMargins left="0.7" right="0.7" top="0.75" bottom="0.75" header="0.3" footer="0.3"/>
  <x:tableParts count="1">
    <x:tablePart xmlns:r="http://schemas.openxmlformats.org/officeDocument/2006/relationships" r:id="Rf9ae27d360444d6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07.62999725341797" hidden="0" customWidth="1"/>
    <x:col min="2" max="2" width="18.75" hidden="0" customWidth="1"/>
    <x:col min="3" max="3" width="18.1299991607666" hidden="0" customWidth="1"/>
    <x:col min="4" max="4" width="15.630000114440918" hidden="0" customWidth="1"/>
    <x:col min="5" max="5" width="38" hidden="0" customWidth="1"/>
    <x:col min="6" max="6" width="38" hidden="0" customWidth="1"/>
    <x:col min="7" max="7" width="38" hidden="0" customWidth="1"/>
    <x:col min="8" max="8" width="8.880000114440918" hidden="0" customWidth="1"/>
    <x:col min="9" max="9" width="13.630000114440918" hidden="0" customWidth="1"/>
    <x:col min="10" max="10" width="8.25" hidden="0" customWidth="1"/>
    <x:col min="11" max="11" width="12.130000114440918" hidden="0" customWidth="1"/>
    <x:col min="12" max="12" width="9.5" hidden="0" customWidth="1"/>
  </x:cols>
  <x:sheetData>
    <x:row r="1" ht="26" customHeight="1">
      <x:c r="A1" s="53" t="str">
        <x:v>Unresolved</x:v>
      </x:c>
      <x:c r="B1" s="54"/>
      <x:c r="C1" s="54"/>
      <x:c r="D1" s="54"/>
      <x:c r="E1" s="54"/>
      <x:c r="F1" s="54"/>
      <x:c r="G1" s="54"/>
      <x:c r="H1" s="54"/>
      <x:c r="I1" s="54"/>
      <x:c r="J1" s="54"/>
      <x:c r="K1" s="54"/>
      <x:c r="L1" s="55"/>
    </x:row>
    <x:row r="2" ht="30" customHeight="1">
      <x:c r="A2" s="56" t="str">
        <x:v>Editable review matrix. Use controlled values where available; select other and fill the labelled taxonomy-extension detail only when needed.</x:v>
      </x:c>
      <x:c r="B2" s="57"/>
      <x:c r="C2" s="57"/>
      <x:c r="D2" s="57"/>
      <x:c r="E2" s="57"/>
      <x:c r="F2" s="57"/>
      <x:c r="G2" s="57"/>
      <x:c r="H2" s="57"/>
      <x:c r="I2" s="57"/>
      <x:c r="J2" s="57"/>
      <x:c r="K2" s="57"/>
      <x:c r="L2" s="58"/>
    </x:row>
    <x:row r="3" ht="15" hidden="0" customHeight="1">
      <x:c r="A3" s="62" t="str">
        <x:v>Issue ID</x:v>
      </x:c>
      <x:c r="B3" s="63" t="str">
        <x:v>Related Literature ID</x:v>
      </x:c>
      <x:c r="C3" s="63" t="str">
        <x:v>Related Evidence ID</x:v>
      </x:c>
      <x:c r="D3" s="63" t="str">
        <x:v>Related Claim ID</x:v>
      </x:c>
      <x:c r="E3" s="63" t="str">
        <x:v>Issue / missing detail</x:v>
      </x:c>
      <x:c r="F3" s="63" t="str">
        <x:v>Why it matters</x:v>
      </x:c>
      <x:c r="G3" s="63" t="str">
        <x:v>Verification source / next action</x:v>
      </x:c>
      <x:c r="H3" s="63" t="str">
        <x:v>Priority</x:v>
      </x:c>
      <x:c r="I3" s="63" t="str">
        <x:v>Review status</x:v>
      </x:c>
      <x:c r="J3" s="63" t="str">
        <x:v>Owner</x:v>
      </x:c>
      <x:c r="K3" s="63" t="str">
        <x:v>Date logged</x:v>
      </x:c>
      <x:c r="L3" s="64" t="str">
        <x:v>ID check</x:v>
      </x:c>
    </x:row>
    <x:row r="4" ht="39.599998474121094" hidden="0" customHeight="1">
      <x:c r="A4" s="27" t="str">
        <x:v>U001</x:v>
      </x:c>
      <x:c r="B4" s="27" t="str">
        <x:v>L001</x:v>
      </x:c>
      <x:c r="C4" s="27" t="str">
        <x:v>L001-E01</x:v>
      </x:c>
      <x:c r="D4" s="27"/>
      <x:c r="E4" s="27" t="str">
        <x:v>算法组件已完成首轮登记；编码/解码、完整预算、重复、种子和统计字段仍须N5/N6原文精读</x:v>
      </x:c>
      <x:c r="F4" s="27" t="str">
        <x:v>影响算法模块归因和跨论文可比性</x:v>
      </x:c>
      <x:c r="G4" s="27" t="str">
        <x:v>N5抽取算法调用链；N6抽取实验协议</x:v>
      </x:c>
      <x:c r="H4" s="27" t="str">
        <x:v>Medium</x:v>
      </x:c>
      <x:c r="I4" s="27" t="str">
        <x:v>Open</x:v>
      </x:c>
      <x:c r="J4" s="27" t="str">
        <x:v>Codex</x:v>
      </x:c>
      <x:c r="K4" s="27" t="n">
        <x:v>46267</x:v>
      </x:c>
      <x:c r="L4" s="27" t="str">
        <x:v>OK</x:v>
      </x:c>
    </x:row>
    <x:row r="5" ht="39.599998474121094" hidden="0" customHeight="1">
      <x:c r="A5" s="27" t="str">
        <x:v>U002</x:v>
      </x:c>
      <x:c r="B5" s="27" t="str">
        <x:v>L002</x:v>
      </x:c>
      <x:c r="C5" s="27" t="str">
        <x:v>L002-E01</x:v>
      </x:c>
      <x:c r="D5" s="27"/>
      <x:c r="E5" s="27" t="str">
        <x:v>算法组件已完成首轮登记；编码/解码、完整预算、重复、种子和统计字段仍须N5/N6原文精读</x:v>
      </x:c>
      <x:c r="F5" s="27" t="str">
        <x:v>影响算法模块归因和跨论文可比性</x:v>
      </x:c>
      <x:c r="G5" s="27" t="str">
        <x:v>N5抽取算法调用链；N6抽取实验协议</x:v>
      </x:c>
      <x:c r="H5" s="27" t="str">
        <x:v>Medium</x:v>
      </x:c>
      <x:c r="I5" s="27" t="str">
        <x:v>Open</x:v>
      </x:c>
      <x:c r="J5" s="27" t="str">
        <x:v>Codex</x:v>
      </x:c>
      <x:c r="K5" s="27" t="n">
        <x:v>46267</x:v>
      </x:c>
      <x:c r="L5" s="27" t="str">
        <x:v>OK</x:v>
      </x:c>
    </x:row>
    <x:row r="6" ht="39.599998474121094" hidden="0" customHeight="1">
      <x:c r="A6" s="27" t="str">
        <x:v>U003</x:v>
      </x:c>
      <x:c r="B6" s="27" t="str">
        <x:v>L003</x:v>
      </x:c>
      <x:c r="C6" s="27" t="str">
        <x:v>L003-E01</x:v>
      </x:c>
      <x:c r="D6" s="27"/>
      <x:c r="E6" s="27" t="str">
        <x:v>算法组件已完成首轮登记；编码/解码、完整预算、重复、种子和统计字段仍须N5/N6原文精读</x:v>
      </x:c>
      <x:c r="F6" s="27" t="str">
        <x:v>影响算法模块归因和跨论文可比性</x:v>
      </x:c>
      <x:c r="G6" s="27" t="str">
        <x:v>N5抽取算法调用链；N6抽取实验协议</x:v>
      </x:c>
      <x:c r="H6" s="27" t="str">
        <x:v>Medium</x:v>
      </x:c>
      <x:c r="I6" s="27" t="str">
        <x:v>Open</x:v>
      </x:c>
      <x:c r="J6" s="27" t="str">
        <x:v>Codex</x:v>
      </x:c>
      <x:c r="K6" s="27" t="n">
        <x:v>46267</x:v>
      </x:c>
      <x:c r="L6" s="27" t="str">
        <x:v>OK</x:v>
      </x:c>
    </x:row>
    <x:row r="7" ht="39.599998474121094" hidden="0" customHeight="1">
      <x:c r="A7" s="27" t="str">
        <x:v>U004</x:v>
      </x:c>
      <x:c r="B7" s="27" t="str">
        <x:v>L004</x:v>
      </x:c>
      <x:c r="C7" s="27" t="str">
        <x:v>L004-E01</x:v>
      </x:c>
      <x:c r="D7" s="27"/>
      <x:c r="E7" s="27" t="str">
        <x:v>算法组件已完成首轮登记；编码/解码、完整预算、重复、种子和统计字段仍须N5/N6原文精读</x:v>
      </x:c>
      <x:c r="F7" s="27" t="str">
        <x:v>影响算法模块归因和跨论文可比性</x:v>
      </x:c>
      <x:c r="G7" s="27" t="str">
        <x:v>N5抽取算法调用链；N6抽取实验协议</x:v>
      </x:c>
      <x:c r="H7" s="27" t="str">
        <x:v>Medium</x:v>
      </x:c>
      <x:c r="I7" s="27" t="str">
        <x:v>Open</x:v>
      </x:c>
      <x:c r="J7" s="27" t="str">
        <x:v>Codex</x:v>
      </x:c>
      <x:c r="K7" s="27" t="n">
        <x:v>46267</x:v>
      </x:c>
      <x:c r="L7" s="27" t="str">
        <x:v>OK</x:v>
      </x:c>
    </x:row>
    <x:row r="8" ht="39.599998474121094" hidden="0" customHeight="1">
      <x:c r="A8" s="27" t="str">
        <x:v>U005</x:v>
      </x:c>
      <x:c r="B8" s="27" t="str">
        <x:v>L005</x:v>
      </x:c>
      <x:c r="C8" s="27" t="str">
        <x:v>L005-E01</x:v>
      </x:c>
      <x:c r="D8" s="27"/>
      <x:c r="E8" s="27" t="str">
        <x:v>算法组件已完成首轮登记；编码/解码、完整预算、重复、种子和统计字段仍须N5/N6原文精读</x:v>
      </x:c>
      <x:c r="F8" s="27" t="str">
        <x:v>影响算法模块归因和跨论文可比性</x:v>
      </x:c>
      <x:c r="G8" s="27" t="str">
        <x:v>N5抽取算法调用链；N6抽取实验协议</x:v>
      </x:c>
      <x:c r="H8" s="27" t="str">
        <x:v>Medium</x:v>
      </x:c>
      <x:c r="I8" s="27" t="str">
        <x:v>Open</x:v>
      </x:c>
      <x:c r="J8" s="27" t="str">
        <x:v>Codex</x:v>
      </x:c>
      <x:c r="K8" s="27" t="n">
        <x:v>46267</x:v>
      </x:c>
      <x:c r="L8" s="27" t="str">
        <x:v>OK</x:v>
      </x:c>
    </x:row>
    <x:row r="9" ht="39.599998474121094" hidden="0" customHeight="1">
      <x:c r="A9" s="27" t="str">
        <x:v>U006</x:v>
      </x:c>
      <x:c r="B9" s="27" t="str">
        <x:v>L006</x:v>
      </x:c>
      <x:c r="C9" s="27" t="str">
        <x:v>L006-E01</x:v>
      </x:c>
      <x:c r="D9" s="27"/>
      <x:c r="E9" s="27" t="str">
        <x:v>算法组件已完成首轮登记；编码/解码、完整预算、重复、种子和统计字段仍须N5/N6原文精读</x:v>
      </x:c>
      <x:c r="F9" s="27" t="str">
        <x:v>影响算法模块归因和跨论文可比性</x:v>
      </x:c>
      <x:c r="G9" s="27" t="str">
        <x:v>N5抽取算法调用链；N6抽取实验协议</x:v>
      </x:c>
      <x:c r="H9" s="27" t="str">
        <x:v>Medium</x:v>
      </x:c>
      <x:c r="I9" s="27" t="str">
        <x:v>Open</x:v>
      </x:c>
      <x:c r="J9" s="27" t="str">
        <x:v>Codex</x:v>
      </x:c>
      <x:c r="K9" s="27" t="n">
        <x:v>46267</x:v>
      </x:c>
      <x:c r="L9" s="27" t="str">
        <x:v>OK</x:v>
      </x:c>
    </x:row>
    <x:row r="10" ht="39.599998474121094" hidden="0" customHeight="1">
      <x:c r="A10" s="27" t="str">
        <x:v>U007</x:v>
      </x:c>
      <x:c r="B10" s="27" t="str">
        <x:v>L007</x:v>
      </x:c>
      <x:c r="C10" s="27" t="str">
        <x:v>L007-E01</x:v>
      </x:c>
      <x:c r="D10" s="27"/>
      <x:c r="E10" s="27" t="str">
        <x:v>算法组件已完成首轮登记；编码/解码、完整预算、重复、种子和统计字段仍须N5/N6原文精读</x:v>
      </x:c>
      <x:c r="F10" s="27" t="str">
        <x:v>影响算法模块归因和跨论文可比性</x:v>
      </x:c>
      <x:c r="G10" s="27" t="str">
        <x:v>N5抽取算法调用链；N6抽取实验协议</x:v>
      </x:c>
      <x:c r="H10" s="27" t="str">
        <x:v>Medium</x:v>
      </x:c>
      <x:c r="I10" s="27" t="str">
        <x:v>Open</x:v>
      </x:c>
      <x:c r="J10" s="27" t="str">
        <x:v>Codex</x:v>
      </x:c>
      <x:c r="K10" s="27" t="n">
        <x:v>46267</x:v>
      </x:c>
      <x:c r="L10" s="27" t="str">
        <x:v>OK</x:v>
      </x:c>
    </x:row>
    <x:row r="11" ht="39.599998474121094" hidden="0" customHeight="1">
      <x:c r="A11" s="27" t="str">
        <x:v>U008</x:v>
      </x:c>
      <x:c r="B11" s="27" t="str">
        <x:v>L008</x:v>
      </x:c>
      <x:c r="C11" s="27" t="str">
        <x:v>L008-E01</x:v>
      </x:c>
      <x:c r="D11" s="27"/>
      <x:c r="E11" s="27" t="str">
        <x:v>算法组件已完成首轮登记；编码/解码、完整预算、重复、种子和统计字段仍须N5/N6原文精读</x:v>
      </x:c>
      <x:c r="F11" s="27" t="str">
        <x:v>影响算法模块归因和跨论文可比性</x:v>
      </x:c>
      <x:c r="G11" s="27" t="str">
        <x:v>N5抽取算法调用链；N6抽取实验协议</x:v>
      </x:c>
      <x:c r="H11" s="27" t="str">
        <x:v>Medium</x:v>
      </x:c>
      <x:c r="I11" s="27" t="str">
        <x:v>Open</x:v>
      </x:c>
      <x:c r="J11" s="27" t="str">
        <x:v>Codex</x:v>
      </x:c>
      <x:c r="K11" s="27" t="n">
        <x:v>46267</x:v>
      </x:c>
      <x:c r="L11" s="27" t="str">
        <x:v>OK</x:v>
      </x:c>
    </x:row>
    <x:row r="12" ht="39.599998474121094" hidden="0" customHeight="1">
      <x:c r="A12" s="27" t="str">
        <x:v>U009</x:v>
      </x:c>
      <x:c r="B12" s="27" t="str">
        <x:v>L009</x:v>
      </x:c>
      <x:c r="C12" s="27" t="str">
        <x:v>L009-E01</x:v>
      </x:c>
      <x:c r="D12" s="27"/>
      <x:c r="E12" s="27" t="str">
        <x:v>算法组件已完成首轮登记；编码/解码、完整预算、重复、种子和统计字段仍须N5/N6原文精读</x:v>
      </x:c>
      <x:c r="F12" s="27" t="str">
        <x:v>影响算法模块归因和跨论文可比性</x:v>
      </x:c>
      <x:c r="G12" s="27" t="str">
        <x:v>N5抽取算法调用链；N6抽取实验协议</x:v>
      </x:c>
      <x:c r="H12" s="27" t="str">
        <x:v>Medium</x:v>
      </x:c>
      <x:c r="I12" s="27" t="str">
        <x:v>Open</x:v>
      </x:c>
      <x:c r="J12" s="27" t="str">
        <x:v>Codex</x:v>
      </x:c>
      <x:c r="K12" s="27" t="n">
        <x:v>46267</x:v>
      </x:c>
      <x:c r="L12" s="27" t="str">
        <x:v>OK</x:v>
      </x:c>
    </x:row>
    <x:row r="13" ht="39.599998474121094" hidden="0" customHeight="1">
      <x:c r="A13" s="27" t="str">
        <x:v>U010</x:v>
      </x:c>
      <x:c r="B13" s="27" t="str">
        <x:v>L010</x:v>
      </x:c>
      <x:c r="C13" s="27" t="str">
        <x:v>L010-E01</x:v>
      </x:c>
      <x:c r="D13" s="27"/>
      <x:c r="E13" s="27" t="str">
        <x:v>算法组件已完成首轮登记；编码/解码、完整预算、重复、种子和统计字段仍须N5/N6原文精读</x:v>
      </x:c>
      <x:c r="F13" s="27" t="str">
        <x:v>影响算法模块归因和跨论文可比性</x:v>
      </x:c>
      <x:c r="G13" s="27" t="str">
        <x:v>N5抽取算法调用链；N6抽取实验协议</x:v>
      </x:c>
      <x:c r="H13" s="27" t="str">
        <x:v>Medium</x:v>
      </x:c>
      <x:c r="I13" s="27" t="str">
        <x:v>Open</x:v>
      </x:c>
      <x:c r="J13" s="27" t="str">
        <x:v>Codex</x:v>
      </x:c>
      <x:c r="K13" s="27" t="n">
        <x:v>46267</x:v>
      </x:c>
      <x:c r="L13" s="27" t="str">
        <x:v>OK</x:v>
      </x:c>
    </x:row>
    <x:row r="14" ht="39.599998474121094" hidden="0" customHeight="1">
      <x:c r="A14" s="27" t="str">
        <x:v>U011</x:v>
      </x:c>
      <x:c r="B14" s="27" t="str">
        <x:v>L011</x:v>
      </x:c>
      <x:c r="C14" s="27" t="str">
        <x:v>L011-E01</x:v>
      </x:c>
      <x:c r="D14" s="27"/>
      <x:c r="E14" s="27" t="str">
        <x:v>算法组件已完成首轮登记；编码/解码、完整预算、重复、种子和统计字段仍须N5/N6原文精读</x:v>
      </x:c>
      <x:c r="F14" s="27" t="str">
        <x:v>影响算法模块归因和跨论文可比性</x:v>
      </x:c>
      <x:c r="G14" s="27" t="str">
        <x:v>N5抽取算法调用链；N6抽取实验协议</x:v>
      </x:c>
      <x:c r="H14" s="27" t="str">
        <x:v>Medium</x:v>
      </x:c>
      <x:c r="I14" s="27" t="str">
        <x:v>Open</x:v>
      </x:c>
      <x:c r="J14" s="27" t="str">
        <x:v>Codex</x:v>
      </x:c>
      <x:c r="K14" s="27" t="n">
        <x:v>46267</x:v>
      </x:c>
      <x:c r="L14" s="27" t="str">
        <x:v>OK</x:v>
      </x:c>
    </x:row>
    <x:row r="15" ht="39.599998474121094" hidden="0" customHeight="1">
      <x:c r="A15" s="27" t="str">
        <x:v>U012</x:v>
      </x:c>
      <x:c r="B15" s="27" t="str">
        <x:v>L012</x:v>
      </x:c>
      <x:c r="C15" s="27" t="str">
        <x:v>L012-E01</x:v>
      </x:c>
      <x:c r="D15" s="27"/>
      <x:c r="E15" s="27" t="str">
        <x:v>算法组件已完成首轮登记；编码/解码、完整预算、重复、种子和统计字段仍须N5/N6原文精读</x:v>
      </x:c>
      <x:c r="F15" s="27" t="str">
        <x:v>影响算法模块归因和跨论文可比性</x:v>
      </x:c>
      <x:c r="G15" s="27" t="str">
        <x:v>N5抽取算法调用链；N6抽取实验协议</x:v>
      </x:c>
      <x:c r="H15" s="27" t="str">
        <x:v>Medium</x:v>
      </x:c>
      <x:c r="I15" s="27" t="str">
        <x:v>Open</x:v>
      </x:c>
      <x:c r="J15" s="27" t="str">
        <x:v>Codex</x:v>
      </x:c>
      <x:c r="K15" s="27" t="n">
        <x:v>46267</x:v>
      </x:c>
      <x:c r="L15" s="27" t="str">
        <x:v>OK</x:v>
      </x:c>
    </x:row>
    <x:row r="16" ht="39.599998474121094" hidden="0" customHeight="1">
      <x:c r="A16" s="27" t="str">
        <x:v>U013</x:v>
      </x:c>
      <x:c r="B16" s="27" t="str">
        <x:v>L013</x:v>
      </x:c>
      <x:c r="C16" s="27" t="str">
        <x:v>L013-E01</x:v>
      </x:c>
      <x:c r="D16" s="27"/>
      <x:c r="E16" s="27" t="str">
        <x:v>算法组件已完成首轮登记；编码/解码、完整预算、重复、种子和统计字段仍须N5/N6原文精读</x:v>
      </x:c>
      <x:c r="F16" s="27" t="str">
        <x:v>影响算法模块归因和跨论文可比性</x:v>
      </x:c>
      <x:c r="G16" s="27" t="str">
        <x:v>N5抽取算法调用链；N6抽取实验协议</x:v>
      </x:c>
      <x:c r="H16" s="27" t="str">
        <x:v>Medium</x:v>
      </x:c>
      <x:c r="I16" s="27" t="str">
        <x:v>Open</x:v>
      </x:c>
      <x:c r="J16" s="27" t="str">
        <x:v>Codex</x:v>
      </x:c>
      <x:c r="K16" s="27" t="n">
        <x:v>46267</x:v>
      </x:c>
      <x:c r="L16" s="27" t="str">
        <x:v>OK</x:v>
      </x:c>
    </x:row>
    <x:row r="17" ht="39.599998474121094" hidden="0" customHeight="1">
      <x:c r="A17" s="27" t="str">
        <x:v>U014</x:v>
      </x:c>
      <x:c r="B17" s="27" t="str">
        <x:v>L014</x:v>
      </x:c>
      <x:c r="C17" s="27" t="str">
        <x:v>L014-E01</x:v>
      </x:c>
      <x:c r="D17" s="27"/>
      <x:c r="E17" s="27" t="str">
        <x:v>算法组件已完成首轮登记；编码/解码、完整预算、重复、种子和统计字段仍须N5/N6原文精读</x:v>
      </x:c>
      <x:c r="F17" s="27" t="str">
        <x:v>影响算法模块归因和跨论文可比性</x:v>
      </x:c>
      <x:c r="G17" s="27" t="str">
        <x:v>N5抽取算法调用链；N6抽取实验协议</x:v>
      </x:c>
      <x:c r="H17" s="27" t="str">
        <x:v>Medium</x:v>
      </x:c>
      <x:c r="I17" s="27" t="str">
        <x:v>Open</x:v>
      </x:c>
      <x:c r="J17" s="27" t="str">
        <x:v>Codex</x:v>
      </x:c>
      <x:c r="K17" s="27" t="n">
        <x:v>46267</x:v>
      </x:c>
      <x:c r="L17" s="27" t="str">
        <x:v>OK</x:v>
      </x:c>
    </x:row>
    <x:row r="18" ht="39.599998474121094" hidden="0" customHeight="1">
      <x:c r="A18" s="27" t="str">
        <x:v>U015</x:v>
      </x:c>
      <x:c r="B18" s="27" t="str">
        <x:v>L015</x:v>
      </x:c>
      <x:c r="C18" s="27" t="str">
        <x:v>L015-E01</x:v>
      </x:c>
      <x:c r="D18" s="27"/>
      <x:c r="E18" s="27" t="str">
        <x:v>算法组件已完成首轮登记；编码/解码、完整预算、重复、种子和统计字段仍须N5/N6原文精读</x:v>
      </x:c>
      <x:c r="F18" s="27" t="str">
        <x:v>影响算法模块归因和跨论文可比性</x:v>
      </x:c>
      <x:c r="G18" s="27" t="str">
        <x:v>N5抽取算法调用链；N6抽取实验协议</x:v>
      </x:c>
      <x:c r="H18" s="27" t="str">
        <x:v>Medium</x:v>
      </x:c>
      <x:c r="I18" s="27" t="str">
        <x:v>Open</x:v>
      </x:c>
      <x:c r="J18" s="27" t="str">
        <x:v>Codex</x:v>
      </x:c>
      <x:c r="K18" s="27" t="n">
        <x:v>46267</x:v>
      </x:c>
      <x:c r="L18" s="27" t="str">
        <x:v>OK</x:v>
      </x:c>
    </x:row>
    <x:row r="19" ht="39.599998474121094" hidden="0" customHeight="1">
      <x:c r="A19" s="27" t="str">
        <x:v>U016</x:v>
      </x:c>
      <x:c r="B19" s="27" t="str">
        <x:v>L016</x:v>
      </x:c>
      <x:c r="C19" s="27" t="str">
        <x:v>L016-E01</x:v>
      </x:c>
      <x:c r="D19" s="27"/>
      <x:c r="E19" s="27" t="str">
        <x:v>算法组件已完成首轮登记；编码/解码、完整预算、重复、种子和统计字段仍须N5/N6原文精读</x:v>
      </x:c>
      <x:c r="F19" s="27" t="str">
        <x:v>影响算法模块归因和跨论文可比性</x:v>
      </x:c>
      <x:c r="G19" s="27" t="str">
        <x:v>N5抽取算法调用链；N6抽取实验协议</x:v>
      </x:c>
      <x:c r="H19" s="27" t="str">
        <x:v>Medium</x:v>
      </x:c>
      <x:c r="I19" s="27" t="str">
        <x:v>Open</x:v>
      </x:c>
      <x:c r="J19" s="27" t="str">
        <x:v>Codex</x:v>
      </x:c>
      <x:c r="K19" s="27" t="n">
        <x:v>46267</x:v>
      </x:c>
      <x:c r="L19" s="27" t="str">
        <x:v>OK</x:v>
      </x:c>
    </x:row>
    <x:row r="20" ht="39.599998474121094" hidden="0" customHeight="1">
      <x:c r="A20" s="27" t="str">
        <x:v>U017</x:v>
      </x:c>
      <x:c r="B20" s="27" t="str">
        <x:v>L017</x:v>
      </x:c>
      <x:c r="C20" s="27" t="str">
        <x:v>L017-E01</x:v>
      </x:c>
      <x:c r="D20" s="27"/>
      <x:c r="E20" s="27" t="str">
        <x:v>算法组件已完成首轮登记；编码/解码、完整预算、重复、种子和统计字段仍须N5/N6原文精读</x:v>
      </x:c>
      <x:c r="F20" s="27" t="str">
        <x:v>影响算法模块归因和跨论文可比性</x:v>
      </x:c>
      <x:c r="G20" s="27" t="str">
        <x:v>N5抽取算法调用链；N6抽取实验协议</x:v>
      </x:c>
      <x:c r="H20" s="27" t="str">
        <x:v>Medium</x:v>
      </x:c>
      <x:c r="I20" s="27" t="str">
        <x:v>Open</x:v>
      </x:c>
      <x:c r="J20" s="27" t="str">
        <x:v>Codex</x:v>
      </x:c>
      <x:c r="K20" s="27" t="n">
        <x:v>46267</x:v>
      </x:c>
      <x:c r="L20" s="27" t="str">
        <x:v>OK</x:v>
      </x:c>
    </x:row>
    <x:row r="21" ht="39.599998474121094" hidden="0" customHeight="1">
      <x:c r="A21" s="27" t="str">
        <x:v>U018</x:v>
      </x:c>
      <x:c r="B21" s="27" t="str">
        <x:v>L018</x:v>
      </x:c>
      <x:c r="C21" s="27" t="str">
        <x:v>L018-E01</x:v>
      </x:c>
      <x:c r="D21" s="27"/>
      <x:c r="E21" s="27" t="str">
        <x:v>算法组件已完成首轮登记；编码/解码、完整预算、重复、种子和统计字段仍须N5/N6原文精读</x:v>
      </x:c>
      <x:c r="F21" s="27" t="str">
        <x:v>影响算法模块归因和跨论文可比性</x:v>
      </x:c>
      <x:c r="G21" s="27" t="str">
        <x:v>N5抽取算法调用链；N6抽取实验协议</x:v>
      </x:c>
      <x:c r="H21" s="27" t="str">
        <x:v>Medium</x:v>
      </x:c>
      <x:c r="I21" s="27" t="str">
        <x:v>Open</x:v>
      </x:c>
      <x:c r="J21" s="27" t="str">
        <x:v>Codex</x:v>
      </x:c>
      <x:c r="K21" s="27" t="n">
        <x:v>46267</x:v>
      </x:c>
      <x:c r="L21" s="27" t="str">
        <x:v>OK</x:v>
      </x:c>
    </x:row>
    <x:row r="22" ht="39.599998474121094" hidden="0" customHeight="1">
      <x:c r="A22" s="27" t="str">
        <x:v>U019</x:v>
      </x:c>
      <x:c r="B22" s="27" t="str">
        <x:v>L019</x:v>
      </x:c>
      <x:c r="C22" s="27" t="str">
        <x:v>L019-E01</x:v>
      </x:c>
      <x:c r="D22" s="27"/>
      <x:c r="E22" s="27" t="str">
        <x:v>算法组件已完成首轮登记；编码/解码、完整预算、重复、种子和统计字段仍须N5/N6原文精读</x:v>
      </x:c>
      <x:c r="F22" s="27" t="str">
        <x:v>影响算法模块归因和跨论文可比性</x:v>
      </x:c>
      <x:c r="G22" s="27" t="str">
        <x:v>N5抽取算法调用链；N6抽取实验协议</x:v>
      </x:c>
      <x:c r="H22" s="27" t="str">
        <x:v>Medium</x:v>
      </x:c>
      <x:c r="I22" s="27" t="str">
        <x:v>Open</x:v>
      </x:c>
      <x:c r="J22" s="27" t="str">
        <x:v>Codex</x:v>
      </x:c>
      <x:c r="K22" s="27" t="n">
        <x:v>46267</x:v>
      </x:c>
      <x:c r="L22" s="27" t="str">
        <x:v>OK</x:v>
      </x:c>
    </x:row>
    <x:row r="23" ht="39.599998474121094" hidden="0" customHeight="1">
      <x:c r="A23" s="27" t="str">
        <x:v>U020</x:v>
      </x:c>
      <x:c r="B23" s="27" t="str">
        <x:v>L020</x:v>
      </x:c>
      <x:c r="C23" s="27" t="str">
        <x:v>L020-E01</x:v>
      </x:c>
      <x:c r="D23" s="27"/>
      <x:c r="E23" s="27" t="str">
        <x:v>算法组件已完成首轮登记；编码/解码、完整预算、重复、种子和统计字段仍须N5/N6原文精读</x:v>
      </x:c>
      <x:c r="F23" s="27" t="str">
        <x:v>影响算法模块归因和跨论文可比性</x:v>
      </x:c>
      <x:c r="G23" s="27" t="str">
        <x:v>N5抽取算法调用链；N6抽取实验协议</x:v>
      </x:c>
      <x:c r="H23" s="27" t="str">
        <x:v>Medium</x:v>
      </x:c>
      <x:c r="I23" s="27" t="str">
        <x:v>Open</x:v>
      </x:c>
      <x:c r="J23" s="27" t="str">
        <x:v>Codex</x:v>
      </x:c>
      <x:c r="K23" s="27" t="n">
        <x:v>46267</x:v>
      </x:c>
      <x:c r="L23" s="27" t="str">
        <x:v>OK</x:v>
      </x:c>
    </x:row>
    <x:row r="24" ht="39.599998474121094" hidden="0" customHeight="1">
      <x:c r="A24" s="27" t="str">
        <x:v>U021</x:v>
      </x:c>
      <x:c r="B24" s="27" t="str">
        <x:v>L021</x:v>
      </x:c>
      <x:c r="C24" s="27" t="str">
        <x:v>L021-E01</x:v>
      </x:c>
      <x:c r="D24" s="27"/>
      <x:c r="E24" s="27" t="str">
        <x:v>算法组件已完成首轮登记；编码/解码、完整预算、重复、种子和统计字段仍须N5/N6原文精读</x:v>
      </x:c>
      <x:c r="F24" s="27" t="str">
        <x:v>影响算法模块归因和跨论文可比性</x:v>
      </x:c>
      <x:c r="G24" s="27" t="str">
        <x:v>N5抽取算法调用链；N6抽取实验协议</x:v>
      </x:c>
      <x:c r="H24" s="27" t="str">
        <x:v>Medium</x:v>
      </x:c>
      <x:c r="I24" s="27" t="str">
        <x:v>Open</x:v>
      </x:c>
      <x:c r="J24" s="27" t="str">
        <x:v>Codex</x:v>
      </x:c>
      <x:c r="K24" s="27" t="n">
        <x:v>46267</x:v>
      </x:c>
      <x:c r="L24" s="27" t="str">
        <x:v>OK</x:v>
      </x:c>
    </x:row>
    <x:row r="25" ht="39.599998474121094" hidden="0" customHeight="1">
      <x:c r="A25" s="27" t="str">
        <x:v>U022</x:v>
      </x:c>
      <x:c r="B25" s="27" t="str">
        <x:v>L022</x:v>
      </x:c>
      <x:c r="C25" s="27" t="str">
        <x:v>L022-E01</x:v>
      </x:c>
      <x:c r="D25" s="27"/>
      <x:c r="E25" s="27" t="str">
        <x:v>算法组件已完成首轮登记；编码/解码、完整预算、重复、种子和统计字段仍须N5/N6原文精读</x:v>
      </x:c>
      <x:c r="F25" s="27" t="str">
        <x:v>影响算法模块归因和跨论文可比性</x:v>
      </x:c>
      <x:c r="G25" s="27" t="str">
        <x:v>N5抽取算法调用链；N6抽取实验协议</x:v>
      </x:c>
      <x:c r="H25" s="27" t="str">
        <x:v>Medium</x:v>
      </x:c>
      <x:c r="I25" s="27" t="str">
        <x:v>Open</x:v>
      </x:c>
      <x:c r="J25" s="27" t="str">
        <x:v>Codex</x:v>
      </x:c>
      <x:c r="K25" s="27" t="n">
        <x:v>46267</x:v>
      </x:c>
      <x:c r="L25" s="27" t="str">
        <x:v>OK</x:v>
      </x:c>
    </x:row>
    <x:row r="26" ht="39.599998474121094" hidden="0" customHeight="1">
      <x:c r="A26" s="27" t="str">
        <x:v>U023</x:v>
      </x:c>
      <x:c r="B26" s="27" t="str">
        <x:v>L023</x:v>
      </x:c>
      <x:c r="C26" s="27" t="str">
        <x:v>L023-E01</x:v>
      </x:c>
      <x:c r="D26" s="27"/>
      <x:c r="E26" s="27" t="str">
        <x:v>算法组件已完成首轮登记；编码/解码、完整预算、重复、种子和统计字段仍须N5/N6原文精读</x:v>
      </x:c>
      <x:c r="F26" s="27" t="str">
        <x:v>影响算法模块归因和跨论文可比性</x:v>
      </x:c>
      <x:c r="G26" s="27" t="str">
        <x:v>N5抽取算法调用链；N6抽取实验协议</x:v>
      </x:c>
      <x:c r="H26" s="27" t="str">
        <x:v>Medium</x:v>
      </x:c>
      <x:c r="I26" s="27" t="str">
        <x:v>Open</x:v>
      </x:c>
      <x:c r="J26" s="27" t="str">
        <x:v>Codex</x:v>
      </x:c>
      <x:c r="K26" s="27" t="n">
        <x:v>46267</x:v>
      </x:c>
      <x:c r="L26" s="27" t="str">
        <x:v>OK</x:v>
      </x:c>
    </x:row>
    <x:row r="27" ht="39.599998474121094" hidden="0" customHeight="1">
      <x:c r="A27" s="27" t="str">
        <x:v>U024</x:v>
      </x:c>
      <x:c r="B27" s="27" t="str">
        <x:v>L024</x:v>
      </x:c>
      <x:c r="C27" s="27" t="str">
        <x:v>L024-E01</x:v>
      </x:c>
      <x:c r="D27" s="27"/>
      <x:c r="E27" s="27" t="str">
        <x:v>算法组件已完成首轮登记；编码/解码、完整预算、重复、种子和统计字段仍须N5/N6原文精读</x:v>
      </x:c>
      <x:c r="F27" s="27" t="str">
        <x:v>影响算法模块归因和跨论文可比性</x:v>
      </x:c>
      <x:c r="G27" s="27" t="str">
        <x:v>N5抽取算法调用链；N6抽取实验协议</x:v>
      </x:c>
      <x:c r="H27" s="27" t="str">
        <x:v>Medium</x:v>
      </x:c>
      <x:c r="I27" s="27" t="str">
        <x:v>Open</x:v>
      </x:c>
      <x:c r="J27" s="27" t="str">
        <x:v>Codex</x:v>
      </x:c>
      <x:c r="K27" s="27" t="n">
        <x:v>46267</x:v>
      </x:c>
      <x:c r="L27" s="27" t="str">
        <x:v>OK</x:v>
      </x:c>
    </x:row>
    <x:row r="28" ht="39.599998474121094" hidden="0" customHeight="1">
      <x:c r="A28" s="27" t="str">
        <x:v>U025</x:v>
      </x:c>
      <x:c r="B28" s="27" t="str">
        <x:v>L025</x:v>
      </x:c>
      <x:c r="C28" s="27" t="str">
        <x:v>L025-E01</x:v>
      </x:c>
      <x:c r="D28" s="27"/>
      <x:c r="E28" s="27" t="str">
        <x:v>算法组件已完成首轮登记；编码/解码、完整预算、重复、种子和统计字段仍须N5/N6原文精读</x:v>
      </x:c>
      <x:c r="F28" s="27" t="str">
        <x:v>影响算法模块归因和跨论文可比性</x:v>
      </x:c>
      <x:c r="G28" s="27" t="str">
        <x:v>N5抽取算法调用链；N6抽取实验协议</x:v>
      </x:c>
      <x:c r="H28" s="27" t="str">
        <x:v>Medium</x:v>
      </x:c>
      <x:c r="I28" s="27" t="str">
        <x:v>Open</x:v>
      </x:c>
      <x:c r="J28" s="27" t="str">
        <x:v>Codex</x:v>
      </x:c>
      <x:c r="K28" s="27" t="n">
        <x:v>46267</x:v>
      </x:c>
      <x:c r="L28" s="27" t="str">
        <x:v>OK</x:v>
      </x:c>
    </x:row>
    <x:row r="29" ht="39.599998474121094" hidden="0" customHeight="1">
      <x:c r="A29" s="27" t="str">
        <x:v>U026</x:v>
      </x:c>
      <x:c r="B29" s="27" t="str">
        <x:v>L026</x:v>
      </x:c>
      <x:c r="C29" s="27" t="str">
        <x:v>L026-E01</x:v>
      </x:c>
      <x:c r="D29" s="27"/>
      <x:c r="E29" s="27" t="str">
        <x:v>算法组件已完成首轮登记；编码/解码、完整预算、重复、种子和统计字段仍须N5/N6原文精读</x:v>
      </x:c>
      <x:c r="F29" s="27" t="str">
        <x:v>影响算法模块归因和跨论文可比性</x:v>
      </x:c>
      <x:c r="G29" s="27" t="str">
        <x:v>N5抽取算法调用链；N6抽取实验协议</x:v>
      </x:c>
      <x:c r="H29" s="27" t="str">
        <x:v>Medium</x:v>
      </x:c>
      <x:c r="I29" s="27" t="str">
        <x:v>Open</x:v>
      </x:c>
      <x:c r="J29" s="27" t="str">
        <x:v>Codex</x:v>
      </x:c>
      <x:c r="K29" s="27" t="n">
        <x:v>46267</x:v>
      </x:c>
      <x:c r="L29" s="27" t="str">
        <x:v>OK</x:v>
      </x:c>
    </x:row>
    <x:row r="30" ht="39.599998474121094" hidden="0" customHeight="1">
      <x:c r="A30" s="27" t="str">
        <x:v>U027</x:v>
      </x:c>
      <x:c r="B30" s="27" t="str">
        <x:v>L027</x:v>
      </x:c>
      <x:c r="C30" s="27" t="str">
        <x:v>L027-E01</x:v>
      </x:c>
      <x:c r="D30" s="27"/>
      <x:c r="E30" s="27" t="str">
        <x:v>算法组件已完成首轮登记；编码/解码、完整预算、重复、种子和统计字段仍须N5/N6原文精读</x:v>
      </x:c>
      <x:c r="F30" s="27" t="str">
        <x:v>影响算法模块归因和跨论文可比性</x:v>
      </x:c>
      <x:c r="G30" s="27" t="str">
        <x:v>N5抽取算法调用链；N6抽取实验协议</x:v>
      </x:c>
      <x:c r="H30" s="27" t="str">
        <x:v>Medium</x:v>
      </x:c>
      <x:c r="I30" s="27" t="str">
        <x:v>Open</x:v>
      </x:c>
      <x:c r="J30" s="27" t="str">
        <x:v>Codex</x:v>
      </x:c>
      <x:c r="K30" s="27" t="n">
        <x:v>46267</x:v>
      </x:c>
      <x:c r="L30" s="27" t="str">
        <x:v>OK</x:v>
      </x:c>
    </x:row>
    <x:row r="31" ht="39.599998474121094" hidden="0" customHeight="1">
      <x:c r="A31" s="27" t="str">
        <x:v>U028</x:v>
      </x:c>
      <x:c r="B31" s="27" t="str">
        <x:v>L028</x:v>
      </x:c>
      <x:c r="C31" s="27" t="str">
        <x:v>L028-E01</x:v>
      </x:c>
      <x:c r="D31" s="27"/>
      <x:c r="E31" s="27" t="str">
        <x:v>算法组件已完成首轮登记；编码/解码、完整预算、重复、种子和统计字段仍须N5/N6原文精读</x:v>
      </x:c>
      <x:c r="F31" s="27" t="str">
        <x:v>影响算法模块归因和跨论文可比性</x:v>
      </x:c>
      <x:c r="G31" s="27" t="str">
        <x:v>N5抽取算法调用链；N6抽取实验协议</x:v>
      </x:c>
      <x:c r="H31" s="27" t="str">
        <x:v>Medium</x:v>
      </x:c>
      <x:c r="I31" s="27" t="str">
        <x:v>Open</x:v>
      </x:c>
      <x:c r="J31" s="27" t="str">
        <x:v>Codex</x:v>
      </x:c>
      <x:c r="K31" s="27" t="n">
        <x:v>46267</x:v>
      </x:c>
      <x:c r="L31" s="27" t="str">
        <x:v>OK</x:v>
      </x:c>
    </x:row>
    <x:row r="32" ht="39.599998474121094" hidden="0" customHeight="1">
      <x:c r="A32" s="27" t="str">
        <x:v>U029</x:v>
      </x:c>
      <x:c r="B32" s="27" t="str">
        <x:v>L029</x:v>
      </x:c>
      <x:c r="C32" s="27" t="str">
        <x:v>L029-E01</x:v>
      </x:c>
      <x:c r="D32" s="27"/>
      <x:c r="E32" s="27" t="str">
        <x:v>算法组件已完成首轮登记；编码/解码、完整预算、重复、种子和统计字段仍须N5/N6原文精读</x:v>
      </x:c>
      <x:c r="F32" s="27" t="str">
        <x:v>影响算法模块归因和跨论文可比性</x:v>
      </x:c>
      <x:c r="G32" s="27" t="str">
        <x:v>N5抽取算法调用链；N6抽取实验协议</x:v>
      </x:c>
      <x:c r="H32" s="27" t="str">
        <x:v>Medium</x:v>
      </x:c>
      <x:c r="I32" s="27" t="str">
        <x:v>Open</x:v>
      </x:c>
      <x:c r="J32" s="27" t="str">
        <x:v>Codex</x:v>
      </x:c>
      <x:c r="K32" s="27" t="n">
        <x:v>46267</x:v>
      </x:c>
      <x:c r="L32" s="27" t="str">
        <x:v>OK</x:v>
      </x:c>
    </x:row>
  </x:sheetData>
  <x:mergeCells>
    <x:mergeCell ref="A1:L1"/>
    <x:mergeCell ref="A2:L2"/>
  </x:mergeCells>
  <x:dataValidations count="2">
    <x:dataValidation type="list" sqref="H4:H24">
      <x:formula1>"High,Medium,Low"</x:formula1>
    </x:dataValidation>
    <x:dataValidation type="list" sqref="I4:I24">
      <x:formula1>"Not started,In progress,Awaiting approval,Complete,Retired"</x:formula1>
    </x:dataValidation>
  </x:dataValidations>
  <x:pageMargins left="0.7" right="0.7" top="0.75" bottom="0.75" header="0.3" footer="0.3"/>
  <x:tableParts count="1">
    <x:tablePart xmlns:r="http://schemas.openxmlformats.org/officeDocument/2006/relationships" r:id="Rbe4a9fc6c78f43e6"/>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3" hidden="0" customWidth="1"/>
    <x:col min="3" max="3" width="44" hidden="0" customWidth="1"/>
    <x:col min="4" max="4" width="42" hidden="0" customWidth="1"/>
    <x:col min="5" max="5" width="20" hidden="0" customWidth="1"/>
    <x:col min="6" max="6" width="22" hidden="0" customWidth="1"/>
    <x:col min="7" max="7" width="15" hidden="0" customWidth="1"/>
  </x:cols>
  <x:sheetData>
    <x:row r="1" ht="26" customHeight="1">
      <x:c r="A1" s="34" t="str">
        <x:v>Version Log</x:v>
      </x:c>
      <x:c r="B1" s="35"/>
      <x:c r="C1" s="35"/>
      <x:c r="D1" s="35"/>
      <x:c r="E1" s="35"/>
      <x:c r="F1" s="35"/>
      <x:c r="G1" s="36"/>
    </x:row>
    <x:row r="2" ht="30" customHeight="1">
      <x:c r="A2" s="37" t="str">
        <x:v>Editable review matrix. Use controlled values where available; select other and fill the labelled taxonomy-extension detail only when needed.</x:v>
      </x:c>
      <x:c r="B2" s="38"/>
      <x:c r="C2" s="38"/>
      <x:c r="D2" s="38"/>
      <x:c r="E2" s="38"/>
      <x:c r="F2" s="38"/>
      <x:c r="G2" s="39"/>
    </x:row>
    <x:row r="3" ht="36" customHeight="1">
      <x:c r="A3" s="20" t="str">
        <x:v>Version</x:v>
      </x:c>
      <x:c r="B3" s="21" t="str">
        <x:v>Date</x:v>
      </x:c>
      <x:c r="C3" s="21" t="str">
        <x:v>Change summary</x:v>
      </x:c>
      <x:c r="D3" s="21" t="str">
        <x:v>Scope / evidence impact</x:v>
      </x:c>
      <x:c r="E3" s="21" t="str">
        <x:v>Reviewed by</x:v>
      </x:c>
      <x:c r="F3" s="21" t="str">
        <x:v>Approval / review status</x:v>
      </x:c>
      <x:c r="G3" s="22" t="str">
        <x:v>Version check</x:v>
      </x:c>
    </x:row>
    <x:row r="4">
      <x:c r="A4" s="40" t="str">
        <x:v>0.1</x:v>
      </x:c>
      <x:c r="B4" s="30" t="n">
        <x:v>46245</x:v>
      </x:c>
      <x:c r="C4" s="26" t="str">
        <x:v>EXAMPLE — remove before project use: initial matrix template</x:v>
      </x:c>
      <x:c r="D4" s="26" t="str">
        <x:v>No evidence claim; fictional placeholder rows only</x:v>
      </x:c>
      <x:c r="E4" s="26" t="str"/>
      <x:c r="F4" s="26" t="str">
        <x:v>Not started</x:v>
      </x:c>
      <x:c r="G4" s="41" t="str">
        <x:f>IF(COUNTA(B4:F4)=0,"",IF(A4="","MISSING ID","OK"))</x:f>
        <x:v>OK</x:v>
      </x:c>
    </x:row>
    <x:row r="5">
      <x:c r="A5" s="42"/>
      <x:c r="B5" s="31"/>
      <x:c r="C5" s="29"/>
      <x:c r="D5" s="29"/>
      <x:c r="E5" s="29"/>
      <x:c r="F5" s="29"/>
      <x:c r="G5" s="41" t="str">
        <x:f>IF(COUNTA(B5:F5)=0,"",IF(A5="","MISSING ID","OK"))</x:f>
      </x:c>
    </x:row>
    <x:row r="6">
      <x:c r="A6" s="42"/>
      <x:c r="B6" s="31"/>
      <x:c r="C6" s="29"/>
      <x:c r="D6" s="29"/>
      <x:c r="E6" s="29"/>
      <x:c r="F6" s="29"/>
      <x:c r="G6" s="41" t="str">
        <x:f>IF(COUNTA(B6:F6)=0,"",IF(A6="","MISSING ID","OK"))</x:f>
      </x:c>
    </x:row>
    <x:row r="7">
      <x:c r="A7" s="42"/>
      <x:c r="B7" s="31"/>
      <x:c r="C7" s="29"/>
      <x:c r="D7" s="29"/>
      <x:c r="E7" s="29"/>
      <x:c r="F7" s="29"/>
      <x:c r="G7" s="41" t="str">
        <x:f>IF(COUNTA(B7:F7)=0,"",IF(A7="","MISSING ID","OK"))</x:f>
      </x:c>
    </x:row>
    <x:row r="8">
      <x:c r="A8" s="42"/>
      <x:c r="B8" s="31"/>
      <x:c r="C8" s="29"/>
      <x:c r="D8" s="29"/>
      <x:c r="E8" s="29"/>
      <x:c r="F8" s="29"/>
      <x:c r="G8" s="41" t="str">
        <x:f>IF(COUNTA(B8:F8)=0,"",IF(A8="","MISSING ID","OK"))</x:f>
      </x:c>
    </x:row>
    <x:row r="9">
      <x:c r="A9" s="42"/>
      <x:c r="B9" s="31"/>
      <x:c r="C9" s="29"/>
      <x:c r="D9" s="29"/>
      <x:c r="E9" s="29"/>
      <x:c r="F9" s="29"/>
      <x:c r="G9" s="41" t="str">
        <x:f>IF(COUNTA(B9:F9)=0,"",IF(A9="","MISSING ID","OK"))</x:f>
      </x:c>
    </x:row>
    <x:row r="10">
      <x:c r="A10" s="42"/>
      <x:c r="B10" s="31"/>
      <x:c r="C10" s="29"/>
      <x:c r="D10" s="29"/>
      <x:c r="E10" s="29"/>
      <x:c r="F10" s="29"/>
      <x:c r="G10" s="41" t="str">
        <x:f>IF(COUNTA(B10:F10)=0,"",IF(A10="","MISSING ID","OK"))</x:f>
      </x:c>
    </x:row>
    <x:row r="11">
      <x:c r="A11" s="42"/>
      <x:c r="B11" s="31"/>
      <x:c r="C11" s="29"/>
      <x:c r="D11" s="29"/>
      <x:c r="E11" s="29"/>
      <x:c r="F11" s="29"/>
      <x:c r="G11" s="41" t="str">
        <x:f>IF(COUNTA(B11:F11)=0,"",IF(A11="","MISSING ID","OK"))</x:f>
      </x:c>
    </x:row>
    <x:row r="12">
      <x:c r="A12" s="42"/>
      <x:c r="B12" s="31"/>
      <x:c r="C12" s="29"/>
      <x:c r="D12" s="29"/>
      <x:c r="E12" s="29"/>
      <x:c r="F12" s="29"/>
      <x:c r="G12" s="41" t="str">
        <x:f>IF(COUNTA(B12:F12)=0,"",IF(A12="","MISSING ID","OK"))</x:f>
      </x:c>
    </x:row>
    <x:row r="13">
      <x:c r="A13" s="42"/>
      <x:c r="B13" s="31"/>
      <x:c r="C13" s="29"/>
      <x:c r="D13" s="29"/>
      <x:c r="E13" s="29"/>
      <x:c r="F13" s="29"/>
      <x:c r="G13" s="41" t="str">
        <x:f>IF(COUNTA(B13:F13)=0,"",IF(A13="","MISSING ID","OK"))</x:f>
      </x:c>
    </x:row>
    <x:row r="14">
      <x:c r="A14" s="42"/>
      <x:c r="B14" s="31"/>
      <x:c r="C14" s="29"/>
      <x:c r="D14" s="29"/>
      <x:c r="E14" s="29"/>
      <x:c r="F14" s="29"/>
      <x:c r="G14" s="41" t="str">
        <x:f>IF(COUNTA(B14:F14)=0,"",IF(A14="","MISSING ID","OK"))</x:f>
      </x:c>
    </x:row>
    <x:row r="15">
      <x:c r="A15" s="42"/>
      <x:c r="B15" s="31"/>
      <x:c r="C15" s="29"/>
      <x:c r="D15" s="29"/>
      <x:c r="E15" s="29"/>
      <x:c r="F15" s="29"/>
      <x:c r="G15" s="41" t="str">
        <x:f>IF(COUNTA(B15:F15)=0,"",IF(A15="","MISSING ID","OK"))</x:f>
      </x:c>
    </x:row>
    <x:row r="16">
      <x:c r="A16" s="42"/>
      <x:c r="B16" s="31"/>
      <x:c r="C16" s="29"/>
      <x:c r="D16" s="29"/>
      <x:c r="E16" s="29"/>
      <x:c r="F16" s="29"/>
      <x:c r="G16" s="41" t="str">
        <x:f>IF(COUNTA(B16:F16)=0,"",IF(A16="","MISSING ID","OK"))</x:f>
      </x:c>
    </x:row>
    <x:row r="17">
      <x:c r="A17" s="42"/>
      <x:c r="B17" s="31"/>
      <x:c r="C17" s="29"/>
      <x:c r="D17" s="29"/>
      <x:c r="E17" s="29"/>
      <x:c r="F17" s="29"/>
      <x:c r="G17" s="41" t="str">
        <x:f>IF(COUNTA(B17:F17)=0,"",IF(A17="","MISSING ID","OK"))</x:f>
      </x:c>
    </x:row>
    <x:row r="18">
      <x:c r="A18" s="42"/>
      <x:c r="B18" s="31"/>
      <x:c r="C18" s="29"/>
      <x:c r="D18" s="29"/>
      <x:c r="E18" s="29"/>
      <x:c r="F18" s="29"/>
      <x:c r="G18" s="41" t="str">
        <x:f>IF(COUNTA(B18:F18)=0,"",IF(A18="","MISSING ID","OK"))</x:f>
      </x:c>
    </x:row>
    <x:row r="19">
      <x:c r="A19" s="42"/>
      <x:c r="B19" s="31"/>
      <x:c r="C19" s="29"/>
      <x:c r="D19" s="29"/>
      <x:c r="E19" s="29"/>
      <x:c r="F19" s="29"/>
      <x:c r="G19" s="41" t="str">
        <x:f>IF(COUNTA(B19:F19)=0,"",IF(A19="","MISSING ID","OK"))</x:f>
      </x:c>
    </x:row>
    <x:row r="20">
      <x:c r="A20" s="42"/>
      <x:c r="B20" s="31"/>
      <x:c r="C20" s="29"/>
      <x:c r="D20" s="29"/>
      <x:c r="E20" s="29"/>
      <x:c r="F20" s="29"/>
      <x:c r="G20" s="41" t="str">
        <x:f>IF(COUNTA(B20:F20)=0,"",IF(A20="","MISSING ID","OK"))</x:f>
      </x:c>
    </x:row>
    <x:row r="21">
      <x:c r="A21" s="42"/>
      <x:c r="B21" s="31"/>
      <x:c r="C21" s="29"/>
      <x:c r="D21" s="29"/>
      <x:c r="E21" s="29"/>
      <x:c r="F21" s="29"/>
      <x:c r="G21" s="41" t="str">
        <x:f>IF(COUNTA(B21:F21)=0,"",IF(A21="","MISSING ID","OK"))</x:f>
      </x:c>
    </x:row>
    <x:row r="22">
      <x:c r="A22" s="42"/>
      <x:c r="B22" s="31"/>
      <x:c r="C22" s="29"/>
      <x:c r="D22" s="29"/>
      <x:c r="E22" s="29"/>
      <x:c r="F22" s="29"/>
      <x:c r="G22" s="41" t="str">
        <x:f>IF(COUNTA(B22:F22)=0,"",IF(A22="","MISSING ID","OK"))</x:f>
      </x:c>
    </x:row>
    <x:row r="23">
      <x:c r="A23" s="42"/>
      <x:c r="B23" s="31"/>
      <x:c r="C23" s="29"/>
      <x:c r="D23" s="29"/>
      <x:c r="E23" s="29"/>
      <x:c r="F23" s="29"/>
      <x:c r="G23" s="41" t="str">
        <x:f>IF(COUNTA(B23:F23)=0,"",IF(A23="","MISSING ID","OK"))</x:f>
      </x:c>
    </x:row>
    <x:row r="24">
      <x:c r="A24" s="43"/>
      <x:c r="B24" s="45"/>
      <x:c r="C24" s="44"/>
      <x:c r="D24" s="44"/>
      <x:c r="E24" s="44"/>
      <x:c r="F24" s="44"/>
      <x:c r="G24" s="46" t="str">
        <x:f>IF(COUNTA(B24:F24)=0,"",IF(A24="","MISSING ID","OK"))</x:f>
      </x:c>
    </x:row>
  </x:sheetData>
  <x:mergeCells>
    <x:mergeCell ref="A1:G1"/>
    <x:mergeCell ref="A2:G2"/>
  </x:mergeCells>
  <x:dataValidations count="1">
    <x:dataValidation type="list" sqref="F4:F24">
      <x:formula1>"Not started,In progress,Awaiting approval,Complete,Retired"</x:formula1>
    </x:dataValidation>
  </x:dataValidations>
  <x:pageMargins left="0.7" right="0.7" top="0.75" bottom="0.75" header="0.3" footer="0.3"/>
  <x:tableParts count="1">
    <x:tablePart xmlns:r="http://schemas.openxmlformats.org/officeDocument/2006/relationships" r:id="R5700f1fa2d9243c4"/>
  </x:tableParts>
</x:worksheet>
</file>