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fb472182a4e48a7" /></Relationships>
</file>

<file path=xl/workbook.xml><?xml version="1.0" encoding="utf-8"?>
<x:workbook xmlns:x="http://schemas.openxmlformats.org/spreadsheetml/2006/main">
  <x:sheets>
    <x:sheet xmlns:r="http://schemas.openxmlformats.org/officeDocument/2006/relationships" name="Project Scope" sheetId="1" r:id="R53bcb920888f4b6e"/>
    <x:sheet xmlns:r="http://schemas.openxmlformats.org/officeDocument/2006/relationships" name="Literature" sheetId="2" r:id="R72824c4f1a0b4607"/>
    <x:sheet xmlns:r="http://schemas.openxmlformats.org/officeDocument/2006/relationships" name="Evidence" sheetId="3" r:id="R533f956437184f95"/>
    <x:sheet xmlns:r="http://schemas.openxmlformats.org/officeDocument/2006/relationships" name="Claim Map" sheetId="4" r:id="Rb0a3ad022bd54734"/>
    <x:sheet xmlns:r="http://schemas.openxmlformats.org/officeDocument/2006/relationships" name="Comparability" sheetId="5" r:id="Rcb77f651e337431b"/>
    <x:sheet xmlns:r="http://schemas.openxmlformats.org/officeDocument/2006/relationships" name="Unresolved" sheetId="6" r:id="R634c6953f1004dfa"/>
    <x:sheet xmlns:r="http://schemas.openxmlformats.org/officeDocument/2006/relationships" name="Version Log" sheetId="7" r:id="R32a1a3d487624c6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1"/>
      <x:color rgb="FFFFFFFF"/>
      <x:name val="Carlito"/>
    </x:font>
    <x:font>
      <x:i/>
      <x:sz val="11"/>
      <x:color rgb="FF1F2937"/>
      <x:name val="Carlito"/>
    </x:font>
    <x:font>
      <x:b/>
      <x:sz val="11"/>
      <x:color rgb="FF1F2937"/>
      <x:name val="Carlito"/>
    </x:font>
    <x:font>
      <x:sz val="11"/>
      <x:color rgb="FF1F2937"/>
      <x:name val="Carlito"/>
    </x:font>
    <x:font>
      <x:b/>
      <x:sz val="11"/>
      <x:color rgb="FF17365D"/>
      <x:name val="Carlito"/>
    </x:font>
    <x:font>
      <x:b/>
      <x:i/>
      <x:sz val="11"/>
      <x:color rgb="FF17365D"/>
      <x:name val="Carlito"/>
    </x:font>
  </x:fonts>
  <x:fills count="9">
    <x:fill>
      <x:patternFill patternType="none"/>
    </x:fill>
    <x:fill>
      <x:patternFill patternType="gray125"/>
    </x:fill>
    <x:fill>
      <x:patternFill patternType="solid">
        <x:fgColor rgb="FF1F4E78"/>
      </x:patternFill>
    </x:fill>
    <x:fill>
      <x:patternFill patternType="solid">
        <x:fgColor rgb="FFEFF5FA"/>
      </x:patternFill>
    </x:fill>
    <x:fill>
      <x:patternFill patternType="solid">
        <x:fgColor rgb="FFDCE6F1"/>
      </x:patternFill>
    </x:fill>
    <x:fill>
      <x:patternFill patternType="solid">
        <x:fgColor rgb="FFFFF2CC"/>
      </x:patternFill>
    </x:fill>
    <x:fill>
      <x:patternFill patternType="solid">
        <x:fgColor rgb="FFF3F4F6"/>
      </x:patternFill>
    </x:fill>
    <x:fill>
      <x:patternFill patternType="solid">
        <x:fgColor rgb="FFEAF2F8"/>
      </x:patternFill>
    </x:fill>
    <x:fill>
      <x:patternFill patternType="solid">
        <x:fgColor rgb="FF1F4E78"/>
      </x:patternFill>
    </x:fill>
  </x:fills>
  <x:borders count="12">
    <x:border/>
    <x:border>
      <x:left style="thin">
        <x:color rgb="FFB7C9D6"/>
      </x:left>
      <x:top style="thin">
        <x:color rgb="FFB7C9D6"/>
      </x:top>
      <x:bottom style="thin">
        <x:color rgb="FFB7C9D6"/>
      </x:bottom>
    </x:border>
    <x:border>
      <x:top style="thin">
        <x:color rgb="FFB7C9D6"/>
      </x:top>
      <x:bottom style="thin">
        <x:color rgb="FFB7C9D6"/>
      </x:bottom>
    </x:border>
    <x:border>
      <x:right style="thin">
        <x:color rgb="FFB7C9D6"/>
      </x:right>
      <x:top style="thin">
        <x:color rgb="FFB7C9D6"/>
      </x:top>
      <x:bottom style="thin">
        <x:color rgb="FFB7C9D6"/>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200" fontId="4" fillId="5" borderId="0"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1" fillId="2" borderId="4" xfId="0" applyNumberFormat="1" applyFont="1" applyFill="1" applyBorder="1" applyAlignment="1">
      <x:alignment horizontal="left" vertical="center"/>
    </x:xf>
    <x:xf numFmtId="0" fontId="0" fillId="0" borderId="5" xfId="0" applyNumberFormat="1" applyFont="1" applyFill="1" applyBorder="1"/>
    <x:xf numFmtId="0" fontId="0" fillId="0" borderId="6" xfId="0" applyNumberFormat="1" applyFont="1" applyFill="1" applyBorder="1"/>
    <x:xf numFmtId="0" fontId="2" fillId="3" borderId="7" xfId="0" applyNumberFormat="1" applyFont="1" applyFill="1" applyBorder="1" applyAlignment="1">
      <x:alignment vertical="center" wrapText="1"/>
    </x:xf>
    <x:xf numFmtId="0" fontId="0" fillId="0" borderId="0" xfId="0" applyNumberFormat="1" applyFont="1" applyFill="1" applyBorder="1"/>
    <x:xf numFmtId="0" fontId="0" fillId="0" borderId="8" xfId="0" applyNumberFormat="1" applyFont="1" applyFill="1" applyBorder="1"/>
    <x:xf numFmtId="0" fontId="4" fillId="5" borderId="7" xfId="0" applyNumberFormat="1" applyFont="1" applyFill="1" applyBorder="1" applyAlignment="1">
      <x:alignment vertical="top" wrapText="1"/>
    </x:xf>
    <x:xf numFmtId="0" fontId="2" fillId="6" borderId="8"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200" fontId="4" fillId="0" borderId="10" xfId="0" applyNumberFormat="1" applyFont="1" applyFill="1" applyBorder="1" applyAlignment="1">
      <x:alignment vertical="top" wrapText="1"/>
    </x:xf>
    <x:xf numFmtId="0" fontId="2" fillId="6" borderId="11" xfId="0" applyNumberFormat="1" applyFont="1" applyFill="1" applyBorder="1" applyAlignment="1">
      <x:alignment vertical="top" wrapText="1"/>
    </x:xf>
    <x:xf numFmtId="0" fontId="1" fillId="7" borderId="4" xfId="0" applyNumberFormat="1" applyFont="1" applyFill="1" applyBorder="1" applyAlignment="1">
      <x:alignment horizontal="left" vertical="center"/>
    </x:xf>
    <x:xf numFmtId="0" fontId="0" fillId="7" borderId="5" xfId="0" applyNumberFormat="1" applyFont="1" applyFill="1" applyBorder="1"/>
    <x:xf numFmtId="0" fontId="0" fillId="7" borderId="6" xfId="0" applyNumberFormat="1" applyFont="1" applyFill="1" applyBorder="1"/>
    <x:xf numFmtId="0" fontId="2" fillId="7" borderId="7" xfId="0" applyNumberFormat="1" applyFont="1" applyFill="1" applyBorder="1" applyAlignment="1">
      <x:alignment vertical="center" wrapText="1"/>
    </x:xf>
    <x:xf numFmtId="0" fontId="0" fillId="7" borderId="0" xfId="0" applyNumberFormat="1" applyFont="1" applyFill="1" applyBorder="1"/>
    <x:xf numFmtId="0" fontId="0" fillId="7" borderId="8" xfId="0" applyNumberFormat="1" applyFont="1" applyFill="1" applyBorder="1"/>
    <x:xf numFmtId="0" fontId="5" fillId="7" borderId="4" xfId="0" applyNumberFormat="1" applyFont="1" applyFill="1" applyBorder="1" applyAlignment="1">
      <x:alignment horizontal="left" vertical="center"/>
    </x:xf>
    <x:xf numFmtId="0" fontId="5" fillId="7" borderId="5" xfId="0" applyNumberFormat="1" applyFont="1" applyFill="1" applyBorder="1"/>
    <x:xf numFmtId="0" fontId="5" fillId="7" borderId="6" xfId="0" applyNumberFormat="1" applyFont="1" applyFill="1" applyBorder="1"/>
    <x:xf numFmtId="0" fontId="6" fillId="7" borderId="7" xfId="0" applyNumberFormat="1" applyFont="1" applyFill="1" applyBorder="1" applyAlignment="1">
      <x:alignment vertical="center" wrapText="1"/>
    </x:xf>
    <x:xf numFmtId="0" fontId="5" fillId="7" borderId="0" xfId="0" applyNumberFormat="1" applyFont="1" applyFill="1" applyBorder="1"/>
    <x:xf numFmtId="0" fontId="5" fillId="7" borderId="8" xfId="0" applyNumberFormat="1" applyFont="1" applyFill="1" applyBorder="1"/>
    <x:xf numFmtId="0" fontId="3" fillId="8" borderId="1" xfId="0" applyNumberFormat="1" applyFont="1" applyFill="1" applyBorder="1" applyAlignment="1">
      <x:alignment horizontal="center" vertical="center" wrapText="1"/>
    </x:xf>
    <x:xf numFmtId="0" fontId="3" fillId="8" borderId="2" xfId="0" applyNumberFormat="1" applyFont="1" applyFill="1" applyBorder="1" applyAlignment="1">
      <x:alignment horizontal="center" vertical="center" wrapText="1"/>
    </x:xf>
    <x:xf numFmtId="0" fontId="3" fillId="8" borderId="3" xfId="0" applyNumberFormat="1" applyFont="1" applyFill="1" applyBorder="1" applyAlignment="1">
      <x:alignment horizontal="center" vertical="center" wrapText="1"/>
    </x:xf>
    <x:xf numFmtId="0" fontId="1" fillId="8" borderId="1" xfId="0" applyNumberFormat="1" applyFont="1" applyFill="1" applyBorder="1" applyAlignment="1">
      <x:alignment horizontal="center" vertical="center" wrapText="1"/>
    </x:xf>
    <x:xf numFmtId="0" fontId="1" fillId="8" borderId="2" xfId="0" applyNumberFormat="1" applyFont="1" applyFill="1" applyBorder="1" applyAlignment="1">
      <x:alignment horizontal="center" vertical="center" wrapText="1"/>
    </x:xf>
    <x:xf numFmtId="0" fontId="1" fillId="8" borderId="3"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b29e2cf3734cf5" /><Relationship Type="http://schemas.openxmlformats.org/officeDocument/2006/relationships/theme" Target="/xl/theme/theme1.xml" Id="Ref1cdaa2a61242fb" /><Relationship Type="http://schemas.openxmlformats.org/officeDocument/2006/relationships/sharedStrings" Target="/xl/sharedStrings.xml" Id="R13287678f9314457" /><Relationship Type="http://schemas.openxmlformats.org/officeDocument/2006/relationships/worksheet" Target="/xl/worksheets/sheet1.xml" Id="R53bcb920888f4b6e" /><Relationship Type="http://schemas.openxmlformats.org/officeDocument/2006/relationships/worksheet" Target="/xl/worksheets/sheet2.xml" Id="R72824c4f1a0b4607" /><Relationship Type="http://schemas.openxmlformats.org/officeDocument/2006/relationships/worksheet" Target="/xl/worksheets/sheet3.xml" Id="R533f956437184f95" /><Relationship Type="http://schemas.openxmlformats.org/officeDocument/2006/relationships/worksheet" Target="/xl/worksheets/sheet4.xml" Id="Rb0a3ad022bd54734" /><Relationship Type="http://schemas.openxmlformats.org/officeDocument/2006/relationships/worksheet" Target="/xl/worksheets/sheet5.xml" Id="Rcb77f651e337431b" /><Relationship Type="http://schemas.openxmlformats.org/officeDocument/2006/relationships/worksheet" Target="/xl/worksheets/sheet6.xml" Id="R634c6953f1004dfa" /><Relationship Type="http://schemas.openxmlformats.org/officeDocument/2006/relationships/worksheet" Target="/xl/worksheets/sheet7.xml" Id="R32a1a3d487624c60" /></Relationships>
</file>

<file path=xl/tables/table1.xml><?xml version="1.0" encoding="utf-8"?>
<x:table xmlns:x="http://schemas.openxmlformats.org/spreadsheetml/2006/main" id="8" name="ScopeTable" displayName="ScopeTable" ref="A3:K5" headerRowCount="1" totalsRowCount="0" totalsRowShown="0">
  <x:tableColumns count="11">
    <x:tableColumn id="1" name="Decision ID"/>
    <x:tableColumn id="2" name="Scope element"/>
    <x:tableColumn id="3" name="Working decision"/>
    <x:tableColumn id="4" name="Rationale / evidence"/>
    <x:tableColumn id="5" name="Exclusions"/>
    <x:tableColumn id="6" name="Provisional classification axis"/>
    <x:tableColumn id="7" name="Review status"/>
    <x:tableColumn id="8" name="Owner"/>
    <x:tableColumn id="9" name="Decision date"/>
    <x:tableColumn id="10" name="Next action"/>
    <x:tableColumn id="11" name="ID check"/>
  </x:tableColumns>
  <x:tableStyleInfo name="TableStyleMedium2" showFirstColumn="0" showLastColumn="0" showRowStripes="1" showColumnStripes="0"/>
</x:table>
</file>

<file path=xl/tables/table2.xml><?xml version="1.0" encoding="utf-8"?>
<x:table xmlns:x="http://schemas.openxmlformats.org/spreadsheetml/2006/main" id="9" name="LiteratureTable" displayName="LiteratureTable" ref="A3:J32" headerRowCount="1" totalsRowCount="0" totalsRowShown="0">
  <x:tableColumns count="10">
    <x:tableColumn id="1" name="Literature ID"/>
    <x:tableColumn id="2" name="Citation"/>
    <x:tableColumn id="3" name="Source URL"/>
    <x:tableColumn id="4" name="Access / traceability status"/>
    <x:tableColumn id="5" name="Inclusion decision"/>
    <x:tableColumn id="6" name="Review status"/>
    <x:tableColumn id="7" name="Application context"/>
    <x:tableColumn id="8" name="Scheduling problem / notation"/>
    <x:tableColumn id="9" name="Notes / taxonomy extension detail"/>
    <x:tableColumn id="10" name="ID check"/>
  </x:tableColumns>
  <x:tableStyleInfo name="TableStyleMedium2" showFirstColumn="0" showLastColumn="0" showRowStripes="1" showColumnStripes="0"/>
</x:table>
</file>

<file path=xl/tables/table3.xml><?xml version="1.0" encoding="utf-8"?>
<x:table xmlns:x="http://schemas.openxmlformats.org/spreadsheetml/2006/main" id="10" name="EvidenceTable" displayName="EvidenceTable" ref="A3:BB32" headerRowCount="1" totalsRowCount="0" totalsRowShown="0">
  <x:tableColumns count="54">
    <x:tableColumn id="1" name="Evidence ID"/>
    <x:tableColumn id="2" name="Literature ID"/>
    <x:tableColumn id="3" name="Source location"/>
    <x:tableColumn id="4" name="Access / traceability status"/>
    <x:tableColumn id="5" name="Scheduling problem / notation"/>
    <x:tableColumn id="6" name="Application context"/>
    <x:tableColumn id="7" name="Decision object"/>
    <x:tableColumn id="8" name="System entities"/>
    <x:tableColumn id="9" name="Decision variables"/>
    <x:tableColumn id="10" name="Objectives"/>
    <x:tableColumn id="11" name="Constraints"/>
    <x:tableColumn id="12" name="Assumptions"/>
    <x:tableColumn id="13" name="Environment"/>
    <x:tableColumn id="14" name="Offline / online status"/>
    <x:tableColumn id="15" name="Event detection / rescheduling trigger"/>
    <x:tableColumn id="16" name="Disturbance model"/>
    <x:tableColumn id="17" name="Disturbance timing"/>
    <x:tableColumn id="18" name="Disturbance duration"/>
    <x:tableColumn id="19" name="Affected resource"/>
    <x:tableColumn id="20" name="Recovery policy"/>
    <x:tableColumn id="21" name="Coupling"/>
    <x:tableColumn id="22" name="Solution family"/>
    <x:tableColumn id="23" name="Evaluation objective"/>
    <x:tableColumn id="24" name="Taxonomy extension detail"/>
    <x:tableColumn id="25" name="Encoding / state"/>
    <x:tableColumn id="26" name="Decoder / environment transition"/>
    <x:tableColumn id="27" name="Repair / conflict handling"/>
    <x:tableColumn id="28" name="Termination rule"/>
    <x:tableColumn id="29" name="Main algorithm loop"/>
    <x:tableColumn id="30" name="Improvement insertion point"/>
    <x:tableColumn id="31" name="Dataset / instance source"/>
    <x:tableColumn id="32" name="Jobs"/>
    <x:tableColumn id="33" name="Operations"/>
    <x:tableColumn id="34" name="Machines"/>
    <x:tableColumn id="35" name="AGVs"/>
    <x:tableColumn id="36" name="Layout"/>
    <x:tableColumn id="37" name="Scale tier"/>
    <x:tableColumn id="38" name="Baselines"/>
    <x:tableColumn id="39" name="Parameter budget"/>
    <x:tableColumn id="40" name="Stopping condition"/>
    <x:tableColumn id="41" name="Independent runs"/>
    <x:tableColumn id="42" name="Random seeds"/>
    <x:tableColumn id="43" name="Statistical tests"/>
    <x:tableColumn id="44" name="Metrics / Pareto reference point"/>
    <x:tableColumn id="45" name="Code / data / parameters"/>
    <x:tableColumn id="46" name="Author conclusion"/>
    <x:tableColumn id="47" name="Direct evidence"/>
    <x:tableColumn id="48" name="AI inference"/>
    <x:tableColumn id="49" name="Limitation"/>
    <x:tableColumn id="50" name="Unresolved verification"/>
    <x:tableColumn id="51" name="Evidence class"/>
    <x:tableColumn id="52" name="Evidence strength"/>
    <x:tableColumn id="53" name="Review status"/>
    <x:tableColumn id="54" name="ID check"/>
  </x:tableColumns>
  <x:tableStyleInfo name="TableStyleMedium2" showFirstColumn="0" showLastColumn="0" showRowStripes="1" showColumnStripes="0"/>
</x:table>
</file>

<file path=xl/tables/table4.xml><?xml version="1.0" encoding="utf-8"?>
<x:table xmlns:x="http://schemas.openxmlformats.org/spreadsheetml/2006/main" id="11" name="ClaimTable" displayName="ClaimTable" ref="A3:I3" headerRowCount="1" totalsRowCount="0" totalsRowShown="0">
  <x:tableColumns count="9">
    <x:tableColumn id="1" name="Claim ID"/>
    <x:tableColumn id="2" name="Evidence ID"/>
    <x:tableColumn id="3" name="Claim text"/>
    <x:tableColumn id="4" name="Evidence class"/>
    <x:tableColumn id="5" name="Evidence strength"/>
    <x:tableColumn id="6" name="Permitted wording"/>
    <x:tableColumn id="7" name="Comparison / limitation"/>
    <x:tableColumn id="8" name="Review status"/>
    <x:tableColumn id="9" name="ID check"/>
  </x:tableColumns>
  <x:tableStyleInfo name="TableStyleMedium2" showFirstColumn="0" showLastColumn="0" showRowStripes="1" showColumnStripes="0"/>
</x:table>
</file>

<file path=xl/tables/table5.xml><?xml version="1.0" encoding="utf-8"?>
<x:table xmlns:x="http://schemas.openxmlformats.org/spreadsheetml/2006/main" id="12" name="ComparabilityTable" displayName="ComparabilityTable" ref="A3:N3" headerRowCount="1" totalsRowCount="0" totalsRowShown="0">
  <x:tableColumns count="14">
    <x:tableColumn id="1" name="Comparison ID"/>
    <x:tableColumn id="2" name="Literature / evidence A"/>
    <x:tableColumn id="3" name="Literature / evidence B"/>
    <x:tableColumn id="4" name="Problem / objective compatible?"/>
    <x:tableColumn id="5" name="Instance / scale compatible?"/>
    <x:tableColumn id="6" name="Constraints / disturbance / information compatible?"/>
    <x:tableColumn id="7" name="Budget / stopping condition compatible?"/>
    <x:tableColumn id="8" name="Metric / normalization / reference point compatible?"/>
    <x:tableColumn id="9" name="Runs / statistics compatible?"/>
    <x:tableColumn id="10" name="Comparison verdict"/>
    <x:tableColumn id="11" name="Reason if not DIRECT"/>
    <x:tableColumn id="12" name="Permitted comparison"/>
    <x:tableColumn id="13" name="Review status"/>
    <x:tableColumn id="14" name="Reason check"/>
  </x:tableColumns>
  <x:tableStyleInfo name="TableStyleMedium2" showFirstColumn="0" showLastColumn="0" showRowStripes="1" showColumnStripes="0"/>
</x:table>
</file>

<file path=xl/tables/table6.xml><?xml version="1.0" encoding="utf-8"?>
<x:table xmlns:x="http://schemas.openxmlformats.org/spreadsheetml/2006/main" id="13" name="UnresolvedTable" displayName="UnresolvedTable" ref="A3:L32" headerRowCount="1" totalsRowCount="0" totalsRowShown="0">
  <x:tableColumns count="12">
    <x:tableColumn id="1" name="Issue ID"/>
    <x:tableColumn id="2" name="Related Literature ID"/>
    <x:tableColumn id="3" name="Related Evidence ID"/>
    <x:tableColumn id="4" name="Related Claim ID"/>
    <x:tableColumn id="5" name="Issue / missing detail"/>
    <x:tableColumn id="6" name="Why it matters"/>
    <x:tableColumn id="7" name="Verification source / next action"/>
    <x:tableColumn id="8" name="Priority"/>
    <x:tableColumn id="9" name="Review status"/>
    <x:tableColumn id="10" name="Owner"/>
    <x:tableColumn id="11" name="Date logged"/>
    <x:tableColumn id="12" name="ID check"/>
  </x:tableColumns>
  <x:tableStyleInfo name="TableStyleMedium2" showFirstColumn="0" showLastColumn="0" showRowStripes="1" showColumnStripes="0"/>
</x:table>
</file>

<file path=xl/tables/table7.xml><?xml version="1.0" encoding="utf-8"?>
<x:table xmlns:x="http://schemas.openxmlformats.org/spreadsheetml/2006/main" id="7" name="VersionLogTable" displayName="VersionLogTable" ref="A3:G4" headerRowCount="1" totalsRowCount="0" totalsRowShown="0">
  <x:autoFilter ref="A3:G4"/>
  <x:tableColumns count="7">
    <x:tableColumn id="1" name="Version"/>
    <x:tableColumn id="2" name="Date"/>
    <x:tableColumn id="3" name="Change summary"/>
    <x:tableColumn id="4" name="Scope / evidence impact"/>
    <x:tableColumn id="5" name="Reviewed by"/>
    <x:tableColumn id="6" name="Approval / review status"/>
    <x:tableColumn id="7" name="Version chec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854da6b5a784746" /></Relationships>
</file>

<file path=xl/worksheets/_rels/sheet2.xml.rels>&#65279;<?xml version="1.0" encoding="utf-8"?><Relationships xmlns="http://schemas.openxmlformats.org/package/2006/relationships"><Relationship Type="http://schemas.openxmlformats.org/officeDocument/2006/relationships/table" Target="/xl/tables/table2.xml" Id="Rdfaa53e09ae54dc5" /></Relationships>
</file>

<file path=xl/worksheets/_rels/sheet3.xml.rels>&#65279;<?xml version="1.0" encoding="utf-8"?><Relationships xmlns="http://schemas.openxmlformats.org/package/2006/relationships"><Relationship Type="http://schemas.openxmlformats.org/officeDocument/2006/relationships/table" Target="/xl/tables/table3.xml" Id="R4eec9a943ceb40b9" /></Relationships>
</file>

<file path=xl/worksheets/_rels/sheet4.xml.rels>&#65279;<?xml version="1.0" encoding="utf-8"?><Relationships xmlns="http://schemas.openxmlformats.org/package/2006/relationships"><Relationship Type="http://schemas.openxmlformats.org/officeDocument/2006/relationships/table" Target="/xl/tables/table4.xml" Id="Rd2047ca457424345" /></Relationships>
</file>

<file path=xl/worksheets/_rels/sheet5.xml.rels>&#65279;<?xml version="1.0" encoding="utf-8"?><Relationships xmlns="http://schemas.openxmlformats.org/package/2006/relationships"><Relationship Type="http://schemas.openxmlformats.org/officeDocument/2006/relationships/table" Target="/xl/tables/table5.xml" Id="R3f9fdb95d40f4d92" /></Relationships>
</file>

<file path=xl/worksheets/_rels/sheet6.xml.rels>&#65279;<?xml version="1.0" encoding="utf-8"?><Relationships xmlns="http://schemas.openxmlformats.org/package/2006/relationships"><Relationship Type="http://schemas.openxmlformats.org/officeDocument/2006/relationships/table" Target="/xl/tables/table6.xml" Id="Rad3af9c9399647f6" /></Relationships>
</file>

<file path=xl/worksheets/_rels/sheet7.xml.rels>&#65279;<?xml version="1.0" encoding="utf-8"?><Relationships xmlns="http://schemas.openxmlformats.org/package/2006/relationships"><Relationship Type="http://schemas.openxmlformats.org/officeDocument/2006/relationships/table" Target="/xl/tables/table7.xml" Id="R04ca5b85c76842d7" /></Relationships>
</file>

<file path=xl/worksheets/sheet1.xml><?xml version="1.0" encoding="utf-8"?>
<x:worksheet xmlns:x="http://schemas.openxmlformats.org/spreadsheetml/2006/main">
  <x:sheetViews>
    <x:sheetView showGridLines="0" workbookViewId="0"/>
  </x:sheetViews>
  <x:sheetFormatPr defaultRowHeight="15"/>
  <x:cols>
    <x:col min="1" max="1" width="107.62999725341797" hidden="0" customWidth="1"/>
    <x:col min="2" max="2" width="14.25" hidden="0" customWidth="1"/>
    <x:col min="3" max="3" width="50" hidden="0" customWidth="1"/>
    <x:col min="4" max="4" width="23.75" hidden="0" customWidth="1"/>
    <x:col min="5" max="5" width="22.5" hidden="0" customWidth="1"/>
    <x:col min="6" max="6" width="31.5" hidden="0" customWidth="1"/>
    <x:col min="7" max="7" width="13.630000114440918" hidden="0" customWidth="1"/>
    <x:col min="8" max="8" width="8.25" hidden="0" customWidth="1"/>
    <x:col min="9" max="9" width="13.380000114440918" hidden="0" customWidth="1"/>
    <x:col min="10" max="10" width="12.880000114440918" hidden="0" customWidth="1"/>
    <x:col min="11" max="11" width="9.5" hidden="0" customWidth="1"/>
  </x:cols>
  <x:sheetData>
    <x:row r="1" ht="26" customHeight="1">
      <x:c r="A1" s="53" t="str">
        <x:v>Project Scope</x:v>
      </x:c>
      <x:c r="B1" s="54"/>
      <x:c r="C1" s="54"/>
      <x:c r="D1" s="54"/>
      <x:c r="E1" s="54"/>
      <x:c r="F1" s="54"/>
      <x:c r="G1" s="54"/>
      <x:c r="H1" s="54"/>
      <x:c r="I1" s="54"/>
      <x:c r="J1" s="54"/>
      <x:c r="K1" s="55"/>
    </x:row>
    <x:row r="2" ht="30" customHeight="1">
      <x:c r="A2" s="56" t="str">
        <x:v>Editable review matrix. Use controlled values where available; select other and fill the labelled taxonomy-extension detail only when needed.</x:v>
      </x:c>
      <x:c r="B2" s="57"/>
      <x:c r="C2" s="57"/>
      <x:c r="D2" s="57"/>
      <x:c r="E2" s="57"/>
      <x:c r="F2" s="57"/>
      <x:c r="G2" s="57"/>
      <x:c r="H2" s="57"/>
      <x:c r="I2" s="57"/>
      <x:c r="J2" s="57"/>
      <x:c r="K2" s="58"/>
    </x:row>
    <x:row r="3" ht="36" customHeight="1">
      <x:c r="A3" s="62" t="str">
        <x:v>Decision ID</x:v>
      </x:c>
      <x:c r="B3" s="63" t="str">
        <x:v>Scope element</x:v>
      </x:c>
      <x:c r="C3" s="63" t="str">
        <x:v>Working decision</x:v>
      </x:c>
      <x:c r="D3" s="63" t="str">
        <x:v>Rationale / evidence</x:v>
      </x:c>
      <x:c r="E3" s="63" t="str">
        <x:v>Exclusions</x:v>
      </x:c>
      <x:c r="F3" s="63" t="str">
        <x:v>Provisional classification axis</x:v>
      </x:c>
      <x:c r="G3" s="63" t="str">
        <x:v>Review status</x:v>
      </x:c>
      <x:c r="H3" s="63" t="str">
        <x:v>Owner</x:v>
      </x:c>
      <x:c r="I3" s="63" t="str">
        <x:v>Decision date</x:v>
      </x:c>
      <x:c r="J3" s="63" t="str">
        <x:v>Next action</x:v>
      </x:c>
      <x:c r="K3" s="64" t="str">
        <x:v>ID check</x:v>
      </x:c>
    </x:row>
    <x:row r="4" ht="42" customHeight="1">
      <x:c r="A4" s="27" t="str">
        <x:v>D001</x:v>
      </x:c>
      <x:c r="B4" s="27" t="str">
        <x:v>泛式整合范围</x:v>
      </x:c>
      <x:c r="C4" s="27" t="str">
        <x:v>动态与静态、全部算法方法、模型模块与实验体系</x:v>
      </x:c>
      <x:c r="D4" s="27" t="str">
        <x:v>用户2026-09-02确认双轨结构</x:v>
      </x:c>
      <x:c r="E4" s="27" t="str">
        <x:v>不以泛式直接证明当前创新</x:v>
      </x:c>
      <x:c r="F4" s="27" t="str">
        <x:v>情境×算法族×模块×实验协议</x:v>
      </x:c>
      <x:c r="G4" s="27" t="str">
        <x:v>Approved</x:v>
      </x:c>
      <x:c r="H4" s="27" t="str">
        <x:v>Codex</x:v>
      </x:c>
      <x:c r="I4" s="27" t="n">
        <x:v>46267</x:v>
      </x:c>
      <x:c r="J4" s="27" t="str">
        <x:v>完成N5/N6精读</x:v>
      </x:c>
      <x:c r="K4" s="27" t="str">
        <x:v>OK</x:v>
      </x:c>
    </x:row>
    <x:row r="5" ht="42" customHeight="1">
      <x:c r="A5" s="27" t="str">
        <x:v>D002</x:v>
      </x:c>
      <x:c r="B5" s="27" t="str">
        <x:v>集中整合接口</x:v>
      </x:c>
      <x:c r="C5" s="27" t="str">
        <x:v>泛式提供候选与术语；集中独立执行六线检索和五类机制比较</x:v>
      </x:c>
      <x:c r="D5" s="27" t="str">
        <x:v>P02双轨README与集中协议</x:v>
      </x:c>
      <x:c r="E5" s="27" t="str">
        <x:v>跨问题性能直接排名</x:v>
      </x:c>
      <x:c r="F5" s="27" t="str">
        <x:v>Top-K/邻域/预算/RL超启发式/机器-AGV</x:v>
      </x:c>
      <x:c r="G5" s="27" t="str">
        <x:v>Approved</x:v>
      </x:c>
      <x:c r="H5" s="27" t="str">
        <x:v>Codex</x:v>
      </x:c>
      <x:c r="I5" s="27" t="n">
        <x:v>46267</x:v>
      </x:c>
      <x:c r="J5" s="27" t="str">
        <x:v>进入集中检索</x:v>
      </x:c>
      <x:c r="K5" s="27" t="str">
        <x:v>OK</x:v>
      </x:c>
    </x:row>
    <x:row r="6">
      <x:c r="A6"/>
      <x:c r="B6"/>
      <x:c r="C6"/>
      <x:c r="D6"/>
      <x:c r="E6"/>
      <x:c r="F6"/>
      <x:c r="G6"/>
      <x:c r="H6"/>
      <x:c r="I6"/>
      <x:c r="J6"/>
      <x:c r="K6"/>
    </x:row>
    <x:row r="7">
      <x:c r="A7"/>
      <x:c r="B7"/>
      <x:c r="C7"/>
      <x:c r="D7"/>
      <x:c r="E7"/>
      <x:c r="F7"/>
      <x:c r="G7"/>
      <x:c r="H7"/>
      <x:c r="I7"/>
      <x:c r="J7"/>
      <x:c r="K7"/>
    </x:row>
    <x:row r="8">
      <x:c r="A8"/>
      <x:c r="B8"/>
      <x:c r="C8"/>
      <x:c r="D8"/>
      <x:c r="E8"/>
      <x:c r="F8"/>
      <x:c r="G8"/>
      <x:c r="H8"/>
      <x:c r="I8"/>
      <x:c r="J8"/>
      <x:c r="K8"/>
    </x:row>
    <x:row r="9">
      <x:c r="A9"/>
      <x:c r="B9"/>
      <x:c r="C9"/>
      <x:c r="D9"/>
      <x:c r="E9"/>
      <x:c r="F9"/>
      <x:c r="G9"/>
      <x:c r="H9"/>
      <x:c r="I9"/>
      <x:c r="J9"/>
      <x:c r="K9"/>
    </x:row>
    <x:row r="10">
      <x:c r="A10"/>
      <x:c r="B10"/>
      <x:c r="C10"/>
      <x:c r="D10"/>
      <x:c r="E10"/>
      <x:c r="F10"/>
      <x:c r="G10"/>
      <x:c r="H10"/>
      <x:c r="I10"/>
      <x:c r="J10"/>
      <x:c r="K10"/>
    </x:row>
    <x:row r="11">
      <x:c r="A11"/>
      <x:c r="B11"/>
      <x:c r="C11"/>
      <x:c r="D11"/>
      <x:c r="E11"/>
      <x:c r="F11"/>
      <x:c r="G11"/>
      <x:c r="H11"/>
      <x:c r="I11"/>
      <x:c r="J11"/>
      <x:c r="K11"/>
    </x:row>
    <x:row r="12">
      <x:c r="A12"/>
      <x:c r="B12"/>
      <x:c r="C12"/>
      <x:c r="D12"/>
      <x:c r="E12"/>
      <x:c r="F12"/>
      <x:c r="G12"/>
      <x:c r="H12"/>
      <x:c r="I12"/>
      <x:c r="J12"/>
      <x:c r="K12"/>
    </x:row>
    <x:row r="13">
      <x:c r="A13"/>
      <x:c r="B13"/>
      <x:c r="C13"/>
      <x:c r="D13"/>
      <x:c r="E13"/>
      <x:c r="F13"/>
      <x:c r="G13"/>
      <x:c r="H13"/>
      <x:c r="I13"/>
      <x:c r="J13"/>
      <x:c r="K13"/>
    </x:row>
    <x:row r="14">
      <x:c r="A14"/>
      <x:c r="B14"/>
      <x:c r="C14"/>
      <x:c r="D14"/>
      <x:c r="E14"/>
      <x:c r="F14"/>
      <x:c r="G14"/>
      <x:c r="H14"/>
      <x:c r="I14"/>
      <x:c r="J14"/>
      <x:c r="K14"/>
    </x:row>
    <x:row r="15">
      <x:c r="A15"/>
      <x:c r="B15"/>
      <x:c r="C15"/>
      <x:c r="D15"/>
      <x:c r="E15"/>
      <x:c r="F15"/>
      <x:c r="G15"/>
      <x:c r="H15"/>
      <x:c r="I15"/>
      <x:c r="J15"/>
      <x:c r="K15"/>
    </x:row>
    <x:row r="16">
      <x:c r="A16"/>
      <x:c r="B16"/>
      <x:c r="C16"/>
      <x:c r="D16"/>
      <x:c r="E16"/>
      <x:c r="F16"/>
      <x:c r="G16"/>
      <x:c r="H16"/>
      <x:c r="I16"/>
      <x:c r="J16"/>
      <x:c r="K16"/>
    </x:row>
    <x:row r="17">
      <x:c r="A17"/>
      <x:c r="B17"/>
      <x:c r="C17"/>
      <x:c r="D17"/>
      <x:c r="E17"/>
      <x:c r="F17"/>
      <x:c r="G17"/>
      <x:c r="H17"/>
      <x:c r="I17"/>
      <x:c r="J17"/>
      <x:c r="K17"/>
    </x:row>
    <x:row r="18">
      <x:c r="A18"/>
      <x:c r="B18"/>
      <x:c r="C18"/>
      <x:c r="D18"/>
      <x:c r="E18"/>
      <x:c r="F18"/>
      <x:c r="G18"/>
      <x:c r="H18"/>
      <x:c r="I18"/>
      <x:c r="J18"/>
      <x:c r="K18"/>
    </x:row>
    <x:row r="19">
      <x:c r="A19"/>
      <x:c r="B19"/>
      <x:c r="C19"/>
      <x:c r="D19"/>
      <x:c r="E19"/>
      <x:c r="F19"/>
      <x:c r="G19"/>
      <x:c r="H19"/>
      <x:c r="I19"/>
      <x:c r="J19"/>
      <x:c r="K19"/>
    </x:row>
    <x:row r="20">
      <x:c r="A20"/>
      <x:c r="B20"/>
      <x:c r="C20"/>
      <x:c r="D20"/>
      <x:c r="E20"/>
      <x:c r="F20"/>
      <x:c r="G20"/>
      <x:c r="H20"/>
      <x:c r="I20"/>
      <x:c r="J20"/>
      <x:c r="K20"/>
    </x:row>
    <x:row r="21">
      <x:c r="A21"/>
      <x:c r="B21"/>
      <x:c r="C21"/>
      <x:c r="D21"/>
      <x:c r="E21"/>
      <x:c r="F21"/>
      <x:c r="G21"/>
      <x:c r="H21"/>
      <x:c r="I21"/>
      <x:c r="J21"/>
      <x:c r="K21"/>
    </x:row>
    <x:row r="22">
      <x:c r="A22"/>
      <x:c r="B22"/>
      <x:c r="C22"/>
      <x:c r="D22"/>
      <x:c r="E22"/>
      <x:c r="F22"/>
      <x:c r="G22"/>
      <x:c r="H22"/>
      <x:c r="I22"/>
      <x:c r="J22"/>
      <x:c r="K22"/>
    </x:row>
    <x:row r="23">
      <x:c r="A23"/>
      <x:c r="B23"/>
      <x:c r="C23"/>
      <x:c r="D23"/>
      <x:c r="E23"/>
      <x:c r="F23"/>
      <x:c r="G23"/>
      <x:c r="H23"/>
      <x:c r="I23"/>
      <x:c r="J23"/>
      <x:c r="K23"/>
    </x:row>
    <x:row r="24">
      <x:c r="A24"/>
      <x:c r="B24"/>
      <x:c r="C24"/>
      <x:c r="D24"/>
      <x:c r="E24"/>
      <x:c r="F24"/>
      <x:c r="G24"/>
      <x:c r="H24"/>
      <x:c r="I24"/>
      <x:c r="J24"/>
      <x:c r="K24"/>
    </x:row>
  </x:sheetData>
  <x:mergeCells>
    <x:mergeCell ref="A1:K1"/>
    <x:mergeCell ref="A2:K2"/>
  </x:mergeCells>
  <x:dataValidations count="1">
    <x:dataValidation type="list" sqref="G4:G24">
      <x:formula1>"Not started,In progress,Awaiting approval,Complete,Retired"</x:formula1>
    </x:dataValidation>
  </x:dataValidations>
  <x:pageMargins left="0.7" right="0.7" top="0.75" bottom="0.75" header="0.3" footer="0.3"/>
  <x:tableParts count="1">
    <x:tablePart xmlns:r="http://schemas.openxmlformats.org/officeDocument/2006/relationships" r:id="Rb854da6b5a784746"/>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7.62999725341797" hidden="0" customWidth="1"/>
    <x:col min="2" max="2" width="42" hidden="0" customWidth="1"/>
    <x:col min="3" max="3" width="43.5" hidden="0" customWidth="1"/>
    <x:col min="4" max="4" width="23.25" hidden="0" customWidth="1"/>
    <x:col min="5" max="5" width="24" hidden="0" customWidth="1"/>
    <x:col min="6" max="6" width="16.8799991607666" hidden="0" customWidth="1"/>
    <x:col min="7" max="7" width="17.8799991607666" hidden="0" customWidth="1"/>
    <x:col min="8" max="8" width="32.5" hidden="0" customWidth="1"/>
    <x:col min="9" max="9" width="34" hidden="0" customWidth="1"/>
    <x:col min="10" max="10" width="9.5" hidden="0" customWidth="1"/>
  </x:cols>
  <x:sheetData>
    <x:row r="1" ht="26" customHeight="1">
      <x:c r="A1" s="53" t="str">
        <x:v>Literature</x:v>
      </x:c>
      <x:c r="B1" s="54"/>
      <x:c r="C1" s="54"/>
      <x:c r="D1" s="54"/>
      <x:c r="E1" s="54"/>
      <x:c r="F1" s="54"/>
      <x:c r="G1" s="54"/>
      <x:c r="H1" s="54"/>
      <x:c r="I1" s="54"/>
      <x:c r="J1" s="55"/>
    </x:row>
    <x:row r="2" ht="30" customHeight="1">
      <x:c r="A2" s="56" t="str">
        <x:v>Editable review matrix. Use controlled values where available; select other and fill the labelled taxonomy-extension detail only when needed.</x:v>
      </x:c>
      <x:c r="B2" s="57"/>
      <x:c r="C2" s="57"/>
      <x:c r="D2" s="57"/>
      <x:c r="E2" s="57"/>
      <x:c r="F2" s="57"/>
      <x:c r="G2" s="57"/>
      <x:c r="H2" s="57"/>
      <x:c r="I2" s="57"/>
      <x:c r="J2" s="58"/>
    </x:row>
    <x:row r="3" ht="15" hidden="0" customHeight="1">
      <x:c r="A3" s="62" t="str">
        <x:v>Literature ID</x:v>
      </x:c>
      <x:c r="B3" s="63" t="str">
        <x:v>Citation</x:v>
      </x:c>
      <x:c r="C3" s="63" t="str">
        <x:v>Source URL</x:v>
      </x:c>
      <x:c r="D3" s="63" t="str">
        <x:v>Access / traceability status</x:v>
      </x:c>
      <x:c r="E3" s="63" t="str">
        <x:v>Inclusion decision</x:v>
      </x:c>
      <x:c r="F3" s="63" t="str">
        <x:v>Review status</x:v>
      </x:c>
      <x:c r="G3" s="63" t="str">
        <x:v>Application context</x:v>
      </x:c>
      <x:c r="H3" s="63" t="str">
        <x:v>Scheduling problem / notation</x:v>
      </x:c>
      <x:c r="I3" s="63" t="str">
        <x:v>Notes / taxonomy extension detail</x:v>
      </x:c>
      <x:c r="J3" s="64" t="str">
        <x:v>ID check</x:v>
      </x:c>
    </x:row>
    <x:row r="4" ht="66" hidden="0" customHeight="1">
      <x:c r="A4" s="27" t="str">
        <x:v>L001</x:v>
      </x:c>
      <x:c r="B4" s="27" t="str">
        <x:v>Rensheng Chen; Bin Wu; Hua Wang; Huagang Tong; Feiyi Yan (2024). A Q-Learning based NSGA-II for dynamic flexible job shop scheduling with limited transportation resources. Swarm and Evolutionary Computation, 90, 101658.</x:v>
      </x:c>
      <x:c r="C4" s="27" t="str">
        <x:v>https://doi.org/10.1016/j.swevo.2024.101658</x:v>
      </x:c>
      <x:c r="D4" s="27" t="str">
        <x:v>Verified</x:v>
      </x:c>
      <x:c r="E4" s="27" t="str">
        <x:v>Included — original study</x:v>
      </x:c>
      <x:c r="F4" s="27" t="str">
        <x:v>First-pass complete</x:v>
      </x:c>
      <x:c r="G4" s="27" t="str">
        <x:v>workshop</x:v>
      </x:c>
      <x:c r="H4" s="27" t="str">
        <x:v>生产车间；动/确</x:v>
      </x:c>
      <x:c r="I4" s="27" t="str">
        <x:v>B001；核心研究对象；原文题名页；Elsevier/DOI 页面</x:v>
      </x:c>
      <x:c r="J4" s="27" t="str">
        <x:v>OK</x:v>
      </x:c>
    </x:row>
    <x:row r="5" ht="39.599998474121094" hidden="0" customHeight="1">
      <x:c r="A5" s="27" t="str">
        <x:v>L002</x:v>
      </x:c>
      <x:c r="B5" s="27" t="str">
        <x:v>廖雪超；向桂宏；阮兵；田芮利；钟实 (2025). 带AGV数量约束的柔性作业车间调度问题研究. 现代制造工程(6):11–21.</x:v>
      </x:c>
      <x:c r="C5" s="27" t="str">
        <x:v>https://doi.org/10.16731/j.cnki.1671-3133.2025.06.002</x:v>
      </x:c>
      <x:c r="D5" s="27" t="str">
        <x:v>Verified</x:v>
      </x:c>
      <x:c r="E5" s="27" t="str">
        <x:v>Included — original study</x:v>
      </x:c>
      <x:c r="F5" s="27" t="str">
        <x:v>First-pass complete</x:v>
      </x:c>
      <x:c r="G5" s="27" t="str">
        <x:v>workshop</x:v>
      </x:c>
      <x:c r="H5" s="27" t="str">
        <x:v>生产车间；静/确</x:v>
      </x:c>
      <x:c r="I5" s="27" t="str">
        <x:v>B002；核心车间原始研究；原文题名页与 DOI；正式期刊引文</x:v>
      </x:c>
      <x:c r="J5" s="27" t="str">
        <x:v>OK</x:v>
      </x:c>
    </x:row>
    <x:row r="6" ht="39.599998474121094" hidden="0" customHeight="1">
      <x:c r="A6" s="27" t="str">
        <x:v>L003</x:v>
      </x:c>
      <x:c r="B6" s="27" t="str">
        <x:v>李晓萌；杨煜普；许晓鸣 (2002). 基于递阶强化学习的多智能体AGV调度系统. 控制与决策17(3):292–296.</x:v>
      </x:c>
      <x:c r="C6" s="27"/>
      <x:c r="D6" s="27" t="str">
        <x:v>Original-source verified</x:v>
      </x:c>
      <x:c r="E6" s="27" t="str">
        <x:v>Included — original study</x:v>
      </x:c>
      <x:c r="F6" s="27" t="str">
        <x:v>First-pass complete</x:v>
      </x:c>
      <x:c r="G6" s="27" t="str">
        <x:v>transport</x:v>
      </x:c>
      <x:c r="H6" s="27" t="str">
        <x:v>通用运输（具体行业未报告）；动/未报</x:v>
      </x:c>
      <x:c r="I6" s="27" t="str">
        <x:v>B003；路径/任务相邻研究；原文题名页；后续论文参考文献可定位</x:v>
      </x:c>
      <x:c r="J6" s="27" t="str">
        <x:v>OK</x:v>
      </x:c>
    </x:row>
    <x:row r="7" ht="39.599998474121094" hidden="0" customHeight="1">
      <x:c r="A7" s="27" t="str">
        <x:v>L004</x:v>
      </x:c>
      <x:c r="B7" s="27" t="str">
        <x:v>侯亚群；王玉亭；韩玉艳；罗涛；陈庆达 (2026). 基于异构图注意力的柔性作业车间与AGV集成调度优化方法. 控制理论与应用网络首发.</x:v>
      </x:c>
      <x:c r="C7" s="27" t="str">
        <x:v>https://doi.org/10.7641/CTA.2026.60211</x:v>
      </x:c>
      <x:c r="D7" s="27" t="str">
        <x:v>Verified</x:v>
      </x:c>
      <x:c r="E7" s="27" t="str">
        <x:v>Included — original study</x:v>
      </x:c>
      <x:c r="F7" s="27" t="str">
        <x:v>First-pass complete</x:v>
      </x:c>
      <x:c r="G7" s="27" t="str">
        <x:v>workshop</x:v>
      </x:c>
      <x:c r="H7" s="27" t="str">
        <x:v>生产车间；静/确</x:v>
      </x:c>
      <x:c r="I7" s="27" t="str">
        <x:v>B004；核心车间原始研究；原文网络首发页及正式引文</x:v>
      </x:c>
      <x:c r="J7" s="27" t="str">
        <x:v>OK</x:v>
      </x:c>
    </x:row>
    <x:row r="8" ht="52.79999923706055" hidden="0" customHeight="1">
      <x:c r="A8" s="27" t="str">
        <x:v>L005</x:v>
      </x:c>
      <x:c r="B8" s="27" t="str">
        <x:v>李西兴；刘晨明；王际鹏；汪俊亮；杨妍；李立军 (2026). 基于Q-learning改进果蝇算法的针织车间AGV资源配置优化. 中国机械工程网络首发.</x:v>
      </x:c>
      <x:c r="C8" s="27" t="str">
        <x:v>https://link.cnki.net/urlid/42.1294.th.20260320.1734.016</x:v>
      </x:c>
      <x:c r="D8" s="27" t="str">
        <x:v>Original-source verified</x:v>
      </x:c>
      <x:c r="E8" s="27" t="str">
        <x:v>Included — original study</x:v>
      </x:c>
      <x:c r="F8" s="27" t="str">
        <x:v>First-pass complete</x:v>
      </x:c>
      <x:c r="G8" s="27" t="str">
        <x:v>workshop</x:v>
      </x:c>
      <x:c r="H8" s="27" t="str">
        <x:v>生产车间（针织）；静/确</x:v>
      </x:c>
      <x:c r="I8" s="27" t="str">
        <x:v>B005；核心车间原始研究；原文网络首发页；卷期页码未定</x:v>
      </x:c>
      <x:c r="J8" s="27" t="str">
        <x:v>OK</x:v>
      </x:c>
    </x:row>
    <x:row r="9" ht="52.79999923706055" hidden="0" customHeight="1">
      <x:c r="A9" s="27" t="str">
        <x:v>L006</x:v>
      </x:c>
      <x:c r="B9" s="27" t="str">
        <x:v>孙孝飞；郭捷；魏灿名；金翔；赵飞；王磊；梅雪松 (2025). 3C智能制造工厂的AGV智慧物料传输与调度综述. 中南大学学报（自然科学版）56(2):514–535.</x:v>
      </x:c>
      <x:c r="C9" s="27" t="str">
        <x:v>https://doi.org/10.11817/j.issn.1672-7207.2025.02.010</x:v>
      </x:c>
      <x:c r="D9" s="27" t="str">
        <x:v>Verified</x:v>
      </x:c>
      <x:c r="E9" s="27" t="str">
        <x:v>Included — review/background</x:v>
      </x:c>
      <x:c r="F9" s="27" t="str">
        <x:v>First-pass complete</x:v>
      </x:c>
      <x:c r="G9" s="27" t="str">
        <x:v>other</x:v>
      </x:c>
      <x:c r="H9" s="27" t="str">
        <x:v>跨场景（综述，以3C车间为主）；跨/跨</x:v>
      </x:c>
      <x:c r="I9" s="27" t="str">
        <x:v>B006；综述；原文正式引文；期刊官网</x:v>
      </x:c>
      <x:c r="J9" s="27" t="str">
        <x:v>OK</x:v>
      </x:c>
    </x:row>
    <x:row r="10" ht="39.599998474121094" hidden="0" customHeight="1">
      <x:c r="A10" s="27" t="str">
        <x:v>L007</x:v>
      </x:c>
      <x:c r="B10" s="27" t="str">
        <x:v>李昆鹏；刘腾博；阮炎秋 (2022). 半导体生产车间智能AGV路径规划与调度. 计算机集成制造系统28(9):2970–2980.</x:v>
      </x:c>
      <x:c r="C10" s="27" t="str">
        <x:v>https://doi.org/10.13196/j.cims.2022.09.026</x:v>
      </x:c>
      <x:c r="D10" s="27" t="str">
        <x:v>Verified</x:v>
      </x:c>
      <x:c r="E10" s="27" t="str">
        <x:v>Included — original study</x:v>
      </x:c>
      <x:c r="F10" s="27" t="str">
        <x:v>First-pass complete</x:v>
      </x:c>
      <x:c r="G10" s="27" t="str">
        <x:v>workshop</x:v>
      </x:c>
      <x:c r="H10" s="27" t="str">
        <x:v>生产车间（半导体）；静/确</x:v>
      </x:c>
      <x:c r="I10" s="27" t="str">
        <x:v>B007；路径/任务相邻研究；原文题名页；DOI/CNKI 记录</x:v>
      </x:c>
      <x:c r="J10" s="27" t="str">
        <x:v>OK</x:v>
      </x:c>
    </x:row>
    <x:row r="11" ht="39.599998474121094" hidden="0" customHeight="1">
      <x:c r="A11" s="27" t="str">
        <x:v>L008</x:v>
      </x:c>
      <x:c r="B11" s="27" t="str">
        <x:v>颜伟；黄冠鹏；高玉萍；刘阳 (2025). 仓库多AGV路径冲突问题研究综述. 科学技术与工程25(18):7465–7474.</x:v>
      </x:c>
      <x:c r="C11" s="27" t="str">
        <x:v>https://doi.org/10.12404/j.issn.1671-1815.2404411</x:v>
      </x:c>
      <x:c r="D11" s="27" t="str">
        <x:v>Original-source verified</x:v>
      </x:c>
      <x:c r="E11" s="27" t="str">
        <x:v>Included — review/background</x:v>
      </x:c>
      <x:c r="F11" s="27" t="str">
        <x:v>First-pass complete</x:v>
      </x:c>
      <x:c r="G11" s="27" t="str">
        <x:v>warehouse</x:v>
      </x:c>
      <x:c r="H11" s="27" t="str">
        <x:v>仓储；跨/跨</x:v>
      </x:c>
      <x:c r="I11" s="27" t="str">
        <x:v>B008；综述；原文正式引文与 DOI</x:v>
      </x:c>
      <x:c r="J11" s="27" t="str">
        <x:v>OK</x:v>
      </x:c>
    </x:row>
    <x:row r="12" ht="39.599998474121094" hidden="0" customHeight="1">
      <x:c r="A12" s="27" t="str">
        <x:v>L009</x:v>
      </x:c>
      <x:c r="B12" s="27" t="str">
        <x:v>张中伟；高增恩；王菁锐；李艺；武照云 (2024). 分布式AGV调度研究综述与发展趋势分析. 制造技术与机床(11).</x:v>
      </x:c>
      <x:c r="C12" s="27" t="str">
        <x:v>https://doi.org/10.19287/j.mtmt.1005-2402.2024.11.008</x:v>
      </x:c>
      <x:c r="D12" s="27" t="str">
        <x:v>Original-source verified</x:v>
      </x:c>
      <x:c r="E12" s="27" t="str">
        <x:v>Included — review/background</x:v>
      </x:c>
      <x:c r="F12" s="27" t="str">
        <x:v>First-pass complete</x:v>
      </x:c>
      <x:c r="G12" s="27" t="str">
        <x:v>other</x:v>
      </x:c>
      <x:c r="H12" s="27" t="str">
        <x:v>跨场景（综述）；跨/跨</x:v>
      </x:c>
      <x:c r="I12" s="27" t="str">
        <x:v>B009；综述；原文题名页与 DOI</x:v>
      </x:c>
      <x:c r="J12" s="27" t="str">
        <x:v>OK</x:v>
      </x:c>
    </x:row>
    <x:row r="13" ht="52.79999923706055" hidden="0" customHeight="1">
      <x:c r="A13" s="27" t="str">
        <x:v>L010</x:v>
      </x:c>
      <x:c r="B13" s="27" t="str">
        <x:v>孟繁威；郭宏；延小龙；武玉鑫；张德华；罗雷 (2026). 基于多智能体强化学习求解柔性作业车间联合调度问题. 计算机集成制造系统32(3):813–830.</x:v>
      </x:c>
      <x:c r="C13" s="27" t="str">
        <x:v>https://doi.org/10.13196/j.cims.2024.0236</x:v>
      </x:c>
      <x:c r="D13" s="27" t="str">
        <x:v>Verified</x:v>
      </x:c>
      <x:c r="E13" s="27" t="str">
        <x:v>Included — original study</x:v>
      </x:c>
      <x:c r="F13" s="27" t="str">
        <x:v>First-pass complete</x:v>
      </x:c>
      <x:c r="G13" s="27" t="str">
        <x:v>workshop</x:v>
      </x:c>
      <x:c r="H13" s="27" t="str">
        <x:v>生产车间；静/确</x:v>
      </x:c>
      <x:c r="I13" s="27" t="str">
        <x:v>B010；核心车间原始研究；原文题名页与 DOI；正式期刊引文</x:v>
      </x:c>
      <x:c r="J13" s="27" t="str">
        <x:v>OK</x:v>
      </x:c>
    </x:row>
    <x:row r="14" ht="39.599998474121094" hidden="0" customHeight="1">
      <x:c r="A14" s="27" t="str">
        <x:v>L011</x:v>
      </x:c>
      <x:c r="B14" s="27" t="str">
        <x:v>刘二辉；姚锡凡；陶韬；金鸿 (2019). 基于改进花授粉算法的共融AGV作业车间调度. 计算机集成制造系统25(9):2219–2236.</x:v>
      </x:c>
      <x:c r="C14" s="27" t="str">
        <x:v>https://doi.org/10.13196/j.cims.2019.09.010</x:v>
      </x:c>
      <x:c r="D14" s="27" t="str">
        <x:v>Original-source verified</x:v>
      </x:c>
      <x:c r="E14" s="27" t="str">
        <x:v>Included — original study</x:v>
      </x:c>
      <x:c r="F14" s="27" t="str">
        <x:v>First-pass complete</x:v>
      </x:c>
      <x:c r="G14" s="27" t="str">
        <x:v>workshop</x:v>
      </x:c>
      <x:c r="H14" s="27" t="str">
        <x:v>生产车间；静/确</x:v>
      </x:c>
      <x:c r="I14" s="27" t="str">
        <x:v>B011；核心车间原始研究；原文题名页与 DOI</x:v>
      </x:c>
      <x:c r="J14" s="27" t="str">
        <x:v>OK</x:v>
      </x:c>
    </x:row>
    <x:row r="15" ht="39.599998474121094" hidden="0" customHeight="1">
      <x:c r="A15" s="27" t="str">
        <x:v>L012</x:v>
      </x:c>
      <x:c r="B15" s="27" t="str">
        <x:v>祁璇；周通；王村松；彭孝天；彭浩 (2025). 基于改进近端策略优化算法的AGV路径规划与任务调度. 计算机集成制造系统31(3):955–964.</x:v>
      </x:c>
      <x:c r="C15" s="27" t="str">
        <x:v>https://doi.org/10.13196/j.cims.2023.0552</x:v>
      </x:c>
      <x:c r="D15" s="27" t="str">
        <x:v>Verified</x:v>
      </x:c>
      <x:c r="E15" s="27" t="str">
        <x:v>Included — original study</x:v>
      </x:c>
      <x:c r="F15" s="27" t="str">
        <x:v>First-pass complete</x:v>
      </x:c>
      <x:c r="G15" s="27" t="str">
        <x:v>transport</x:v>
      </x:c>
      <x:c r="H15" s="27" t="str">
        <x:v>通用运输（具体行业未报告）；静/确</x:v>
      </x:c>
      <x:c r="I15" s="27" t="str">
        <x:v>B012；路径/任务相邻研究；原文题名页与 DOI；正式期刊引文</x:v>
      </x:c>
      <x:c r="J15" s="27" t="str">
        <x:v>OK</x:v>
      </x:c>
    </x:row>
    <x:row r="16" ht="39.599998474121094" hidden="0" customHeight="1">
      <x:c r="A16" s="27" t="str">
        <x:v>L013</x:v>
      </x:c>
      <x:c r="B16" s="27" t="str">
        <x:v>肖世昌；林轩；郑鹏；王金凤 (2026). 基于近端策略优化算法的自动化集装箱码头自动导引车防冲突路径规划. 中国机械工程网络首发.</x:v>
      </x:c>
      <x:c r="C16" s="27" t="str">
        <x:v>https://link.cnki.net/urlid/42.1294.th.20260126.1628.008</x:v>
      </x:c>
      <x:c r="D16" s="27" t="str">
        <x:v>Original-source verified</x:v>
      </x:c>
      <x:c r="E16" s="27" t="str">
        <x:v>Included — original study</x:v>
      </x:c>
      <x:c r="F16" s="27" t="str">
        <x:v>First-pass complete</x:v>
      </x:c>
      <x:c r="G16" s="27" t="str">
        <x:v>terminal</x:v>
      </x:c>
      <x:c r="H16" s="27" t="str">
        <x:v>自动化码头；静/确</x:v>
      </x:c>
      <x:c r="I16" s="27" t="str">
        <x:v>B013；路径/任务相邻研究；原文网络首发页；卷期页码未定</x:v>
      </x:c>
      <x:c r="J16" s="27" t="str">
        <x:v>OK</x:v>
      </x:c>
    </x:row>
    <x:row r="17" ht="39.599998474121094" hidden="0" customHeight="1">
      <x:c r="A17" s="27" t="str">
        <x:v>L014</x:v>
      </x:c>
      <x:c r="B17" s="27" t="str">
        <x:v>王贺；许佳宁；闫广宇 (2025). 基于深度强化学习的AGV行人避让策略研究. 系统仿真学报37(3):595–606.</x:v>
      </x:c>
      <x:c r="C17" s="27" t="str">
        <x:v>https://doi.org/10.16182/j.issn1004731x.joss.24-0088</x:v>
      </x:c>
      <x:c r="D17" s="27" t="str">
        <x:v>Original-source verified</x:v>
      </x:c>
      <x:c r="E17" s="27" t="str">
        <x:v>Included — original study</x:v>
      </x:c>
      <x:c r="F17" s="27" t="str">
        <x:v>First-pass complete</x:v>
      </x:c>
      <x:c r="G17" s="27" t="str">
        <x:v>other</x:v>
      </x:c>
      <x:c r="H17" s="27" t="str">
        <x:v>人机共融（智能工厂）；动/不清楚</x:v>
      </x:c>
      <x:c r="I17" s="27" t="str">
        <x:v>B014；路径/任务相邻研究；原文正式引文与 DOI</x:v>
      </x:c>
      <x:c r="J17" s="27" t="str">
        <x:v>OK</x:v>
      </x:c>
    </x:row>
    <x:row r="18" ht="39.599998474121094" hidden="0" customHeight="1">
      <x:c r="A18" s="27" t="str">
        <x:v>L015</x:v>
      </x:c>
      <x:c r="B18" s="27" t="str">
        <x:v>周亚勤；肖蒙；吕志军；汪俊亮；张洁 (2024). 基于DQN算法的考虑AGV小车搬运的离散制造车间调度方法. 机械工程学报60(18):338–349.</x:v>
      </x:c>
      <x:c r="C18" s="27" t="str">
        <x:v>https://doi.org/10.3901/JME.2024.18.338</x:v>
      </x:c>
      <x:c r="D18" s="27" t="str">
        <x:v>Original-source verified</x:v>
      </x:c>
      <x:c r="E18" s="27" t="str">
        <x:v>Included — original study</x:v>
      </x:c>
      <x:c r="F18" s="27" t="str">
        <x:v>First-pass complete</x:v>
      </x:c>
      <x:c r="G18" s="27" t="str">
        <x:v>workshop</x:v>
      </x:c>
      <x:c r="H18" s="27" t="str">
        <x:v>生产车间（离散制造）；静/确</x:v>
      </x:c>
      <x:c r="I18" s="27" t="str">
        <x:v>B015；核心车间原始研究；原文题名页与 DOI</x:v>
      </x:c>
      <x:c r="J18" s="27" t="str">
        <x:v>OK</x:v>
      </x:c>
    </x:row>
    <x:row r="19" ht="52.79999923706055" hidden="0" customHeight="1">
      <x:c r="A19" s="27" t="str">
        <x:v>L016</x:v>
      </x:c>
      <x:c r="B19" s="27" t="str">
        <x:v>周亚勤；李振浩；项前 (2025). 考虑工时不确定的动态柔性作业车间机器与AGV联合调度方法. 东华大学学报（自然科学版）51(6):38–46.</x:v>
      </x:c>
      <x:c r="C19" s="27" t="str">
        <x:v>https://doi.org/10.19886/j.cnki.dhdz.2025.0100</x:v>
      </x:c>
      <x:c r="D19" s="27" t="str">
        <x:v>Verified</x:v>
      </x:c>
      <x:c r="E19" s="27" t="str">
        <x:v>Included — original study</x:v>
      </x:c>
      <x:c r="F19" s="27" t="str">
        <x:v>First-pass complete</x:v>
      </x:c>
      <x:c r="G19" s="27" t="str">
        <x:v>workshop</x:v>
      </x:c>
      <x:c r="H19" s="27" t="str">
        <x:v>生产车间；动/随</x:v>
      </x:c>
      <x:c r="I19" s="27" t="str">
        <x:v>B016；核心车间原始研究；原文题名、作者、文章号与 DOI；期刊 PDF 页面/书目记录确认完整题名含 AGV</x:v>
      </x:c>
      <x:c r="J19" s="27" t="str">
        <x:v>OK</x:v>
      </x:c>
    </x:row>
    <x:row r="20" ht="39.599998474121094" hidden="0" customHeight="1">
      <x:c r="A20" s="27" t="str">
        <x:v>L017</x:v>
      </x:c>
      <x:c r="B20" s="27" t="str">
        <x:v>张毅；王玉芳；葛师语；郑明波；张艺 (2026). 绿色作业车间与变速充电AGV协同调度研究. 计算机系统应用35(8):270–283.</x:v>
      </x:c>
      <x:c r="C20" s="27" t="str">
        <x:v>https://doi.org/10.15888/j.cnki.csa.010240</x:v>
      </x:c>
      <x:c r="D20" s="27" t="str">
        <x:v>Verified</x:v>
      </x:c>
      <x:c r="E20" s="27" t="str">
        <x:v>Included — original study</x:v>
      </x:c>
      <x:c r="F20" s="27" t="str">
        <x:v>First-pass complete</x:v>
      </x:c>
      <x:c r="G20" s="27" t="str">
        <x:v>workshop</x:v>
      </x:c>
      <x:c r="H20" s="27" t="str">
        <x:v>生产车间（绿色车间）；静/确</x:v>
      </x:c>
      <x:c r="I20" s="27" t="str">
        <x:v>B017；核心车间原始研究；原文题名页；期刊官网当期目录与 DOI</x:v>
      </x:c>
      <x:c r="J20" s="27" t="str">
        <x:v>OK</x:v>
      </x:c>
    </x:row>
    <x:row r="21" ht="39.599998474121094" hidden="0" customHeight="1">
      <x:c r="A21" s="27" t="str">
        <x:v>L018</x:v>
      </x:c>
      <x:c r="B21" s="27" t="str">
        <x:v>杨智飞；苏春；胡祥涛；陈帝江 (2019). 面向智能生产车间的多AGV系统多目标调度优化. 东南大学学报（自然科学版）49(6):1033–1040.</x:v>
      </x:c>
      <x:c r="C21" s="27" t="str">
        <x:v>https://doi.org/10.3969/j.issn.1001-0505.2019.06.003</x:v>
      </x:c>
      <x:c r="D21" s="27" t="str">
        <x:v>Verified</x:v>
      </x:c>
      <x:c r="E21" s="27" t="str">
        <x:v>Included — original study</x:v>
      </x:c>
      <x:c r="F21" s="27" t="str">
        <x:v>First-pass complete</x:v>
      </x:c>
      <x:c r="G21" s="27" t="str">
        <x:v>workshop</x:v>
      </x:c>
      <x:c r="H21" s="27" t="str">
        <x:v>生产车间；静/确</x:v>
      </x:c>
      <x:c r="I21" s="27" t="str">
        <x:v>B018；核心车间原始研究；原文题名页、文章号与 DOI；正式引文交叉核对</x:v>
      </x:c>
      <x:c r="J21" s="27" t="str">
        <x:v>OK</x:v>
      </x:c>
    </x:row>
    <x:row r="22" ht="39.599998474121094" hidden="0" customHeight="1">
      <x:c r="A22" s="27" t="str">
        <x:v>L019</x:v>
      </x:c>
      <x:c r="B22" s="27" t="str">
        <x:v>林国义；黄千禧；谢帅等 (2026). 面向智能制造的AGV与柔性作业车间协同调度模型与算法. 控制与决策41(4):1166–1175.</x:v>
      </x:c>
      <x:c r="C22" s="27" t="str">
        <x:v>https://doi.org/10.13195/j.kzyjc.2025.0808</x:v>
      </x:c>
      <x:c r="D22" s="27" t="str">
        <x:v>Original-source verified</x:v>
      </x:c>
      <x:c r="E22" s="27" t="str">
        <x:v>Included — original study</x:v>
      </x:c>
      <x:c r="F22" s="27" t="str">
        <x:v>First-pass complete</x:v>
      </x:c>
      <x:c r="G22" s="27" t="str">
        <x:v>workshop</x:v>
      </x:c>
      <x:c r="H22" s="27" t="str">
        <x:v>生产车间；静/确</x:v>
      </x:c>
      <x:c r="I22" s="27" t="str">
        <x:v>B019；核心车间原始研究；原文正式引文与 DOI</x:v>
      </x:c>
      <x:c r="J22" s="27" t="str">
        <x:v>OK</x:v>
      </x:c>
    </x:row>
    <x:row r="23" ht="39.599998474121094" hidden="0" customHeight="1">
      <x:c r="A23" s="27" t="str">
        <x:v>L020</x:v>
      </x:c>
      <x:c r="B23" s="27" t="str">
        <x:v>许波桅；李非凡；李军军 (2026). 势博弈深度强化学习驱动的AGV群能量均衡研究. 控制与决策网络首发.</x:v>
      </x:c>
      <x:c r="C23" s="27" t="str">
        <x:v>https://doi.org/10.13195/j.kzyjc.2025.1187</x:v>
      </x:c>
      <x:c r="D23" s="27" t="str">
        <x:v>Original-source verified</x:v>
      </x:c>
      <x:c r="E23" s="27" t="str">
        <x:v>Included — original study</x:v>
      </x:c>
      <x:c r="F23" s="27" t="str">
        <x:v>First-pass complete</x:v>
      </x:c>
      <x:c r="G23" s="27" t="str">
        <x:v>terminal</x:v>
      </x:c>
      <x:c r="H23" s="27" t="str">
        <x:v>自动化码头；动/确</x:v>
      </x:c>
      <x:c r="I23" s="27" t="str">
        <x:v>B020；路径/任务相邻研究；原文网络首发页与 DOI；卷期页码未定</x:v>
      </x:c>
      <x:c r="J23" s="27" t="str">
        <x:v>OK</x:v>
      </x:c>
    </x:row>
    <x:row r="24" ht="52.79999923706055" hidden="0" customHeight="1">
      <x:c r="A24" s="27" t="str">
        <x:v>L021</x:v>
      </x:c>
      <x:c r="B24" s="27" t="str">
        <x:v>李明万；李建勋；张若晨；尚晏莹 (2026). 数字孪生驱动的物流仓储无人仓多AGV全局路径规划研究. 计算机集成制造系统网络首发.</x:v>
      </x:c>
      <x:c r="C24" s="27" t="str">
        <x:v>https://doi.org/10.13196/j.cims.2024.Z32</x:v>
      </x:c>
      <x:c r="D24" s="27" t="str">
        <x:v>Original-source verified</x:v>
      </x:c>
      <x:c r="E24" s="27" t="str">
        <x:v>Included — original study</x:v>
      </x:c>
      <x:c r="F24" s="27" t="str">
        <x:v>First-pass complete</x:v>
      </x:c>
      <x:c r="G24" s="27" t="str">
        <x:v>warehouse</x:v>
      </x:c>
      <x:c r="H24" s="27" t="str">
        <x:v>仓储（无人仓）；动/未报</x:v>
      </x:c>
      <x:c r="I24" s="27" t="str">
        <x:v>B021；路径/任务相邻研究；原文题名页、全体作者与 DOI；外部记录显示 2026-03-19 网络首发，正式卷期页码尚未形成</x:v>
      </x:c>
      <x:c r="J24" s="27" t="str">
        <x:v>OK</x:v>
      </x:c>
    </x:row>
    <x:row r="25" ht="39.599998474121094" hidden="0" customHeight="1">
      <x:c r="A25" s="27" t="str">
        <x:v>L022</x:v>
      </x:c>
      <x:c r="B25" s="27" t="str">
        <x:v>柳赛男等 (2007). 一种解决有AGV小车约束的车间智能调度问题的算法. 中国机械工程18(15):1810–1813.</x:v>
      </x:c>
      <x:c r="C25" s="27"/>
      <x:c r="D25" s="27" t="str">
        <x:v>Original-source verified</x:v>
      </x:c>
      <x:c r="E25" s="27" t="str">
        <x:v>Included — original study</x:v>
      </x:c>
      <x:c r="F25" s="27" t="str">
        <x:v>First-pass complete</x:v>
      </x:c>
      <x:c r="G25" s="27" t="str">
        <x:v>workshop</x:v>
      </x:c>
      <x:c r="H25" s="27" t="str">
        <x:v>生产车间；静/确</x:v>
      </x:c>
      <x:c r="I25" s="27" t="str">
        <x:v>B022；核心车间原始研究；原文题名页与文章号 1004-132X(2007)15-1810-04</x:v>
      </x:c>
      <x:c r="J25" s="27" t="str">
        <x:v>OK</x:v>
      </x:c>
    </x:row>
    <x:row r="26" ht="39.599998474121094" hidden="0" customHeight="1">
      <x:c r="A26" s="27" t="str">
        <x:v>L023</x:v>
      </x:c>
      <x:c r="B26" s="27" t="str">
        <x:v>司明；邬伯藩；胡灿；邢伟强 (2024). 智能仓储交通信号与多AGV路径规划协同控制方法. 计算机工程与应用60(11):290–297.</x:v>
      </x:c>
      <x:c r="C26" s="27" t="str">
        <x:v>https://doi.org/10.3778/j.issn.1002-8331.2310-0113</x:v>
      </x:c>
      <x:c r="D26" s="27" t="str">
        <x:v>Verified</x:v>
      </x:c>
      <x:c r="E26" s="27" t="str">
        <x:v>Included — original study</x:v>
      </x:c>
      <x:c r="F26" s="27" t="str">
        <x:v>First-pass complete</x:v>
      </x:c>
      <x:c r="G26" s="27" t="str">
        <x:v>warehouse</x:v>
      </x:c>
      <x:c r="H26" s="27" t="str">
        <x:v>仓储；动/未报</x:v>
      </x:c>
      <x:c r="I26" s="27" t="str">
        <x:v>B023；路径/任务相邻研究；原文题名页与 DOI；正式期刊引文</x:v>
      </x:c>
      <x:c r="J26" s="27" t="str">
        <x:v>OK</x:v>
      </x:c>
    </x:row>
    <x:row r="27" ht="39.599998474121094" hidden="0" customHeight="1">
      <x:c r="A27" s="27" t="str">
        <x:v>L024</x:v>
      </x:c>
      <x:c r="B27" s="27" t="str">
        <x:v>李昆鹏等 (2025). 智能仓库中多AGV在线任务指派与全局路径规划问题研究. 中国管理科学33(3):264–276.</x:v>
      </x:c>
      <x:c r="C27" s="27" t="str">
        <x:v>https://doi.org/10.16381/j.cnki.issn1003-207x.2023.0429</x:v>
      </x:c>
      <x:c r="D27" s="27" t="str">
        <x:v>Original-source verified</x:v>
      </x:c>
      <x:c r="E27" s="27" t="str">
        <x:v>Included — original study</x:v>
      </x:c>
      <x:c r="F27" s="27" t="str">
        <x:v>First-pass complete</x:v>
      </x:c>
      <x:c r="G27" s="27" t="str">
        <x:v>warehouse</x:v>
      </x:c>
      <x:c r="H27" s="27" t="str">
        <x:v>仓储；动/未报</x:v>
      </x:c>
      <x:c r="I27" s="27" t="str">
        <x:v>B024；路径/任务相邻研究；原文文章号、题名页与期刊官网</x:v>
      </x:c>
      <x:c r="J27" s="27" t="str">
        <x:v>OK</x:v>
      </x:c>
    </x:row>
    <x:row r="28" ht="66" hidden="0" customHeight="1">
      <x:c r="A28" s="27" t="str">
        <x:v>L025</x:v>
      </x:c>
      <x:c r="B28" s="27" t="str">
        <x:v>Ming-hai Yuan; Ya-dong Li; Feng-que Pei; Wen-bin Gu (2021). Dual-resource integrated scheduling method of AGV and machine in intelligent manufacturing job shop. Journal of Central South University, 28(8):2423–2435.</x:v>
      </x:c>
      <x:c r="C28" s="27" t="str">
        <x:v>https://doi.org/10.1007/s11771-021-4777-8</x:v>
      </x:c>
      <x:c r="D28" s="27" t="str">
        <x:v>Verified</x:v>
      </x:c>
      <x:c r="E28" s="27" t="str">
        <x:v>Included — original study</x:v>
      </x:c>
      <x:c r="F28" s="27" t="str">
        <x:v>First-pass complete</x:v>
      </x:c>
      <x:c r="G28" s="27" t="str">
        <x:v>workshop</x:v>
      </x:c>
      <x:c r="H28" s="27" t="str">
        <x:v>生产车间；静/确</x:v>
      </x:c>
      <x:c r="I28" s="27" t="str">
        <x:v>B025；核心车间原始研究；原文推荐引文；Springer DOI</x:v>
      </x:c>
      <x:c r="J28" s="27" t="str">
        <x:v>OK</x:v>
      </x:c>
    </x:row>
    <x:row r="29" ht="39.599998474121094" hidden="0" customHeight="1">
      <x:c r="A29" s="27" t="str">
        <x:v>L026</x:v>
      </x:c>
      <x:c r="B29" s="27" t="str">
        <x:v>田宇；周强；朱本飞 (2020). 自动化集装箱码头双循环AGV与场桥的集成调度研究. 交通运输系统工程与信息20(4):216–223.</x:v>
      </x:c>
      <x:c r="C29" s="27" t="str">
        <x:v>https://doi.org/10.16097/j.cnki.1009-6744.2020.04.031</x:v>
      </x:c>
      <x:c r="D29" s="27" t="str">
        <x:v>Original-source verified</x:v>
      </x:c>
      <x:c r="E29" s="27" t="str">
        <x:v>Included — original study</x:v>
      </x:c>
      <x:c r="F29" s="27" t="str">
        <x:v>First-pass complete</x:v>
      </x:c>
      <x:c r="G29" s="27" t="str">
        <x:v>terminal</x:v>
      </x:c>
      <x:c r="H29" s="27" t="str">
        <x:v>自动化码头；静/确</x:v>
      </x:c>
      <x:c r="I29" s="27" t="str">
        <x:v>B026；路径/任务相邻研究；原文题名页、文章号与 DOI</x:v>
      </x:c>
      <x:c r="J29" s="27" t="str">
        <x:v>OK</x:v>
      </x:c>
    </x:row>
    <x:row r="30" ht="39.599998474121094" hidden="0" customHeight="1">
      <x:c r="A30" s="27" t="str">
        <x:v>L027</x:v>
      </x:c>
      <x:c r="B30" s="27" t="str">
        <x:v>Fujie Ren; Haibin Liu (2024). Dynamic scheduling for flexible job shop based on MachineRank algorithm and reinforcement learning. Scientific Reports, 14:29741.</x:v>
      </x:c>
      <x:c r="C30" s="27" t="str">
        <x:v>https://doi.org/10.1038/s41598-024-79593-8</x:v>
      </x:c>
      <x:c r="D30" s="27" t="str">
        <x:v>Verified</x:v>
      </x:c>
      <x:c r="E30" s="27" t="str">
        <x:v>Included — original study</x:v>
      </x:c>
      <x:c r="F30" s="27" t="str">
        <x:v>First-pass complete</x:v>
      </x:c>
      <x:c r="G30" s="27" t="str">
        <x:v>workshop</x:v>
      </x:c>
      <x:c r="H30" s="27" t="str">
        <x:v>生产车间；动/随</x:v>
      </x:c>
      <x:c r="I30" s="27" t="str">
        <x:v>B027；核心车间原始研究；原文题名页；Nature/PMC/OpenAlex</x:v>
      </x:c>
      <x:c r="J30" s="27" t="str">
        <x:v>OK</x:v>
      </x:c>
    </x:row>
    <x:row r="31" ht="66" hidden="0" customHeight="1">
      <x:c r="A31" s="27" t="str">
        <x:v>L028</x:v>
      </x:c>
      <x:c r="B31" s="27" t="str">
        <x:v>Yingmei He; Bin Xin; Sai Lu; Qing Wang; Yulong Ding (2022). Memetic Algorithm for Dynamic Joint Flexible Job Shop Scheduling with Machines and Transportation Robots. Journal of Advanced Computational Intelligence and Intelligent Informatics, 26(6):974–982.</x:v>
      </x:c>
      <x:c r="C31" s="27" t="str">
        <x:v>https://doi.org/10.20965/jaciii.2022.p0974</x:v>
      </x:c>
      <x:c r="D31" s="27" t="str">
        <x:v>Verified</x:v>
      </x:c>
      <x:c r="E31" s="27" t="str">
        <x:v>Included — original study</x:v>
      </x:c>
      <x:c r="F31" s="27" t="str">
        <x:v>First-pass complete</x:v>
      </x:c>
      <x:c r="G31" s="27" t="str">
        <x:v>workshop</x:v>
      </x:c>
      <x:c r="H31" s="27" t="str">
        <x:v>生产车间；动/确</x:v>
      </x:c>
      <x:c r="I31" s="27" t="str">
        <x:v>B028；核心车间原始研究；原文题名页；Fuji Technology Press/J-STAGE</x:v>
      </x:c>
      <x:c r="J31" s="27" t="str">
        <x:v>OK</x:v>
      </x:c>
    </x:row>
    <x:row r="32" ht="79.19999694824219" hidden="0" customHeight="1">
      <x:c r="A32" s="27" t="str">
        <x:v>L029</x:v>
      </x:c>
      <x:c r="B32" s="27" t="str">
        <x:v>Zhongyuan Liang; Peisi Zhong; Chao Zhang; Wenlei Yang; Wei Xiong; Shihao Yang; Jing Meng (2023). A genetic algorithm-based approach for flexible job shop rescheduling problem with machine failure interference. Eksploatacja i Niezawodność – Maintenance and Reliability, 25(4).</x:v>
      </x:c>
      <x:c r="C32" s="27" t="str">
        <x:v>https://doi.org/10.17531/ein/171784</x:v>
      </x:c>
      <x:c r="D32" s="27" t="str">
        <x:v>Verified</x:v>
      </x:c>
      <x:c r="E32" s="27" t="str">
        <x:v>Included — original study</x:v>
      </x:c>
      <x:c r="F32" s="27" t="str">
        <x:v>First-pass complete</x:v>
      </x:c>
      <x:c r="G32" s="27" t="str">
        <x:v>workshop</x:v>
      </x:c>
      <x:c r="H32" s="27" t="str">
        <x:v>生产车间；动/确</x:v>
      </x:c>
      <x:c r="I32" s="27" t="str">
        <x:v>B029；动态机器相邻研究；原文题名页；期刊引文/DOI</x:v>
      </x:c>
      <x:c r="J32" s="27" t="str">
        <x:v>OK</x:v>
      </x:c>
    </x:row>
  </x:sheetData>
  <x:mergeCells>
    <x:mergeCell ref="A1:J1"/>
    <x:mergeCell ref="A2:J2"/>
  </x:mergeCells>
  <x:dataValidations count="2">
    <x:dataValidation type="list" sqref="F4:F24">
      <x:formula1>"Not started,In progress,Awaiting approval,Complete,Retired"</x:formula1>
    </x:dataValidation>
    <x:dataValidation type="list" sqref="G4:G24">
      <x:formula1>"workshop,warehouse,terminal,transport,other,not reported,unclear"</x:formula1>
    </x:dataValidation>
  </x:dataValidations>
  <x:pageMargins left="0.7" right="0.7" top="0.75" bottom="0.75" header="0.3" footer="0.3"/>
  <x:tableParts count="1">
    <x:tablePart xmlns:r="http://schemas.openxmlformats.org/officeDocument/2006/relationships" r:id="Rdfaa53e09ae54dc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07.62999725341797" hidden="0" customWidth="1"/>
    <x:col min="2" max="2" width="12.5" hidden="0" customWidth="1"/>
    <x:col min="3" max="3" width="18" hidden="0" customWidth="1"/>
    <x:col min="4" max="4" width="18" hidden="0" customWidth="1"/>
    <x:col min="5" max="5" width="2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34" hidden="0" customWidth="1"/>
    <x:col min="26" max="26" width="34" hidden="0" customWidth="1"/>
    <x:col min="27" max="27" width="34" hidden="0" customWidth="1"/>
    <x:col min="28" max="28" width="34" hidden="0" customWidth="1"/>
    <x:col min="29" max="29" width="34" hidden="0" customWidth="1"/>
    <x:col min="30" max="30" width="34" hidden="0" customWidth="1"/>
    <x:col min="31" max="31" width="24" hidden="0" customWidth="1"/>
    <x:col min="32" max="32" width="24" hidden="0" customWidth="1"/>
    <x:col min="33" max="33" width="24" hidden="0" customWidth="1"/>
    <x:col min="34" max="34" width="24" hidden="0" customWidth="1"/>
    <x:col min="35" max="35" width="24" hidden="0" customWidth="1"/>
    <x:col min="36" max="36" width="24" hidden="0" customWidth="1"/>
    <x:col min="37" max="37" width="24" hidden="0" customWidth="1"/>
    <x:col min="38" max="38" width="24" hidden="0" customWidth="1"/>
    <x:col min="39" max="39" width="24" hidden="0" customWidth="1"/>
    <x:col min="40" max="40" width="24" hidden="0" customWidth="1"/>
    <x:col min="41" max="41" width="24" hidden="0" customWidth="1"/>
    <x:col min="42" max="42" width="24" hidden="0" customWidth="1"/>
    <x:col min="43" max="43" width="24" hidden="0" customWidth="1"/>
    <x:col min="44" max="44" width="24" hidden="0" customWidth="1"/>
    <x:col min="45" max="45" width="24" hidden="0" customWidth="1"/>
    <x:col min="46" max="46" width="24" hidden="0" customWidth="1"/>
    <x:col min="47" max="47" width="24" hidden="0" customWidth="1"/>
    <x:col min="48" max="48" width="24" hidden="0" customWidth="1"/>
    <x:col min="49" max="49" width="24" hidden="0" customWidth="1"/>
    <x:col min="50" max="50" width="24" hidden="0" customWidth="1"/>
    <x:col min="51" max="51" width="24" hidden="0" customWidth="1"/>
    <x:col min="52" max="52" width="24" hidden="0" customWidth="1"/>
    <x:col min="53" max="53" width="24" hidden="0" customWidth="1"/>
    <x:col min="54" max="54" width="24" hidden="0" customWidth="1"/>
  </x:cols>
  <x:sheetData>
    <x:row r="1" ht="26" customHeight="1">
      <x:c r="A1" s="53" t="str">
        <x:v>Evidence</x:v>
      </x:c>
      <x:c r="B1" s="54"/>
      <x:c r="C1" s="54"/>
      <x:c r="D1" s="54"/>
      <x:c r="E1" s="54"/>
      <x:c r="F1" s="54"/>
      <x:c r="G1" s="54"/>
      <x:c r="H1" s="54"/>
      <x:c r="I1" s="54"/>
      <x:c r="J1" s="54"/>
      <x:c r="K1" s="54"/>
      <x:c r="L1" s="54"/>
      <x:c r="M1" s="54"/>
      <x:c r="N1" s="54"/>
      <x:c r="O1" s="54"/>
      <x:c r="P1" s="54"/>
      <x:c r="Q1" s="54"/>
      <x:c r="R1" s="54"/>
      <x:c r="S1" s="54"/>
      <x:c r="T1" s="54"/>
      <x:c r="U1" s="54"/>
      <x:c r="V1" s="54"/>
      <x:c r="W1" s="54"/>
      <x:c r="X1" s="54"/>
      <x:c r="Y1" s="54"/>
      <x:c r="Z1" s="54"/>
      <x:c r="AA1" s="54"/>
      <x:c r="AB1" s="54"/>
      <x:c r="AC1" s="54"/>
      <x:c r="AD1" s="54"/>
      <x:c r="AE1" s="54"/>
      <x:c r="AF1" s="54"/>
      <x:c r="AG1" s="54"/>
      <x:c r="AH1" s="54"/>
      <x:c r="AI1" s="54"/>
      <x:c r="AJ1" s="54"/>
      <x:c r="AK1" s="54"/>
      <x:c r="AL1" s="54"/>
      <x:c r="AM1" s="54"/>
      <x:c r="AN1" s="54"/>
      <x:c r="AO1" s="54"/>
      <x:c r="AP1" s="54"/>
      <x:c r="AQ1" s="54"/>
      <x:c r="AR1" s="54"/>
      <x:c r="AS1" s="54"/>
      <x:c r="AT1" s="54"/>
      <x:c r="AU1" s="54"/>
      <x:c r="AV1" s="54"/>
      <x:c r="AW1" s="54"/>
      <x:c r="AX1" s="54"/>
      <x:c r="AY1" s="54"/>
      <x:c r="AZ1" s="54"/>
      <x:c r="BA1" s="54"/>
      <x:c r="BB1" s="55"/>
    </x:row>
    <x:row r="2" ht="30" customHeight="1">
      <x:c r="A2" s="56" t="str">
        <x:v>Editable review matrix. Use controlled values where available; select other and fill the labelled taxonomy-extension detail only when needed.</x:v>
      </x:c>
      <x:c r="B2" s="57"/>
      <x:c r="C2" s="57"/>
      <x:c r="D2" s="57"/>
      <x:c r="E2" s="57"/>
      <x:c r="F2" s="57"/>
      <x:c r="G2" s="57"/>
      <x:c r="H2" s="57"/>
      <x:c r="I2" s="57"/>
      <x:c r="J2" s="57"/>
      <x:c r="K2" s="57"/>
      <x:c r="L2" s="57"/>
      <x:c r="M2" s="57"/>
      <x:c r="N2" s="57"/>
      <x:c r="O2" s="57"/>
      <x:c r="P2" s="57"/>
      <x:c r="Q2" s="57"/>
      <x:c r="R2" s="57"/>
      <x:c r="S2" s="57"/>
      <x:c r="T2" s="57"/>
      <x:c r="U2" s="57"/>
      <x:c r="V2" s="57"/>
      <x:c r="W2" s="57"/>
      <x:c r="X2" s="57"/>
      <x:c r="Y2" s="57"/>
      <x:c r="Z2" s="57"/>
      <x:c r="AA2" s="57"/>
      <x:c r="AB2" s="57"/>
      <x:c r="AC2" s="57"/>
      <x:c r="AD2" s="57"/>
      <x:c r="AE2" s="57"/>
      <x:c r="AF2" s="57"/>
      <x:c r="AG2" s="57"/>
      <x:c r="AH2" s="57"/>
      <x:c r="AI2" s="57"/>
      <x:c r="AJ2" s="57"/>
      <x:c r="AK2" s="57"/>
      <x:c r="AL2" s="57"/>
      <x:c r="AM2" s="57"/>
      <x:c r="AN2" s="57"/>
      <x:c r="AO2" s="57"/>
      <x:c r="AP2" s="57"/>
      <x:c r="AQ2" s="57"/>
      <x:c r="AR2" s="57"/>
      <x:c r="AS2" s="57"/>
      <x:c r="AT2" s="57"/>
      <x:c r="AU2" s="57"/>
      <x:c r="AV2" s="57"/>
      <x:c r="AW2" s="57"/>
      <x:c r="AX2" s="57"/>
      <x:c r="AY2" s="57"/>
      <x:c r="AZ2" s="57"/>
      <x:c r="BA2" s="57"/>
      <x:c r="BB2" s="58"/>
    </x:row>
    <x:row r="3" ht="26.399999618530273" hidden="0" customHeight="1">
      <x:c r="A3" s="62" t="str">
        <x:v>Evidence ID</x:v>
      </x:c>
      <x:c r="B3" s="63" t="str">
        <x:v>Literature ID</x:v>
      </x:c>
      <x:c r="C3" s="63" t="str">
        <x:v>Source location</x:v>
      </x:c>
      <x:c r="D3" s="63" t="str">
        <x:v>Access / traceability status</x:v>
      </x:c>
      <x:c r="E3" s="63" t="str">
        <x:v>Scheduling problem / notation</x:v>
      </x:c>
      <x:c r="F3" s="63" t="str">
        <x:v>Application context</x:v>
      </x:c>
      <x:c r="G3" s="63" t="str">
        <x:v>Decision object</x:v>
      </x:c>
      <x:c r="H3" s="63" t="str">
        <x:v>System entities</x:v>
      </x:c>
      <x:c r="I3" s="63" t="str">
        <x:v>Decision variables</x:v>
      </x:c>
      <x:c r="J3" s="63" t="str">
        <x:v>Objectives</x:v>
      </x:c>
      <x:c r="K3" s="63" t="str">
        <x:v>Constraints</x:v>
      </x:c>
      <x:c r="L3" s="63" t="str">
        <x:v>Assumptions</x:v>
      </x:c>
      <x:c r="M3" s="63" t="str">
        <x:v>Environment</x:v>
      </x:c>
      <x:c r="N3" s="63" t="str">
        <x:v>Offline / online status</x:v>
      </x:c>
      <x:c r="O3" s="63" t="str">
        <x:v>Event detection / rescheduling trigger</x:v>
      </x:c>
      <x:c r="P3" s="63" t="str">
        <x:v>Disturbance model</x:v>
      </x:c>
      <x:c r="Q3" s="63" t="str">
        <x:v>Disturbance timing</x:v>
      </x:c>
      <x:c r="R3" s="63" t="str">
        <x:v>Disturbance duration</x:v>
      </x:c>
      <x:c r="S3" s="63" t="str">
        <x:v>Affected resource</x:v>
      </x:c>
      <x:c r="T3" s="63" t="str">
        <x:v>Recovery policy</x:v>
      </x:c>
      <x:c r="U3" s="63" t="str">
        <x:v>Coupling</x:v>
      </x:c>
      <x:c r="V3" s="63" t="str">
        <x:v>Solution family</x:v>
      </x:c>
      <x:c r="W3" s="63" t="str">
        <x:v>Evaluation objective</x:v>
      </x:c>
      <x:c r="X3" s="63" t="str">
        <x:v>Taxonomy extension detail</x:v>
      </x:c>
      <x:c r="Y3" s="63" t="str">
        <x:v>Encoding / state</x:v>
      </x:c>
      <x:c r="Z3" s="63" t="str">
        <x:v>Decoder / environment transition</x:v>
      </x:c>
      <x:c r="AA3" s="63" t="str">
        <x:v>Repair / conflict handling</x:v>
      </x:c>
      <x:c r="AB3" s="63" t="str">
        <x:v>Termination rule</x:v>
      </x:c>
      <x:c r="AC3" s="63" t="str">
        <x:v>Main algorithm loop</x:v>
      </x:c>
      <x:c r="AD3" s="63" t="str">
        <x:v>Improvement insertion point</x:v>
      </x:c>
      <x:c r="AE3" s="63" t="str">
        <x:v>Dataset / instance source</x:v>
      </x:c>
      <x:c r="AF3" s="63" t="str">
        <x:v>Jobs</x:v>
      </x:c>
      <x:c r="AG3" s="63" t="str">
        <x:v>Operations</x:v>
      </x:c>
      <x:c r="AH3" s="63" t="str">
        <x:v>Machines</x:v>
      </x:c>
      <x:c r="AI3" s="63" t="str">
        <x:v>AGVs</x:v>
      </x:c>
      <x:c r="AJ3" s="63" t="str">
        <x:v>Layout</x:v>
      </x:c>
      <x:c r="AK3" s="63" t="str">
        <x:v>Scale tier</x:v>
      </x:c>
      <x:c r="AL3" s="63" t="str">
        <x:v>Baselines</x:v>
      </x:c>
      <x:c r="AM3" s="63" t="str">
        <x:v>Parameter budget</x:v>
      </x:c>
      <x:c r="AN3" s="63" t="str">
        <x:v>Stopping condition</x:v>
      </x:c>
      <x:c r="AO3" s="63" t="str">
        <x:v>Independent runs</x:v>
      </x:c>
      <x:c r="AP3" s="63" t="str">
        <x:v>Random seeds</x:v>
      </x:c>
      <x:c r="AQ3" s="63" t="str">
        <x:v>Statistical tests</x:v>
      </x:c>
      <x:c r="AR3" s="63" t="str">
        <x:v>Metrics / Pareto reference point</x:v>
      </x:c>
      <x:c r="AS3" s="63" t="str">
        <x:v>Code / data / parameters</x:v>
      </x:c>
      <x:c r="AT3" s="63" t="str">
        <x:v>Author conclusion</x:v>
      </x:c>
      <x:c r="AU3" s="63" t="str">
        <x:v>Direct evidence</x:v>
      </x:c>
      <x:c r="AV3" s="63" t="str">
        <x:v>AI inference</x:v>
      </x:c>
      <x:c r="AW3" s="63" t="str">
        <x:v>Limitation</x:v>
      </x:c>
      <x:c r="AX3" s="63" t="str">
        <x:v>Unresolved verification</x:v>
      </x:c>
      <x:c r="AY3" s="63" t="str">
        <x:v>Evidence class</x:v>
      </x:c>
      <x:c r="AZ3" s="63" t="str">
        <x:v>Evidence strength</x:v>
      </x:c>
      <x:c r="BA3" s="63" t="str">
        <x:v>Review status</x:v>
      </x:c>
      <x:c r="BB3" s="64" t="str">
        <x:v>ID check</x:v>
      </x:c>
    </x:row>
    <x:row r="4" ht="92.4000015258789" hidden="0" customHeight="1">
      <x:c r="A4" s="27" t="str">
        <x:v>L001-E01</x:v>
      </x:c>
      <x:c r="B4" s="27" t="str">
        <x:v>L001</x:v>
      </x:c>
      <x:c r="C4" s="27" t="str">
        <x:v>B001 `5.1 Encoding and decoding`、Algorithms 5–6、`6.4`–`6.5`；B001 `6.1`–`6.5`</x:v>
      </x:c>
      <x:c r="D4" s="27" t="str">
        <x:v>Verified</x:v>
      </x:c>
      <x:c r="E4" s="27" t="str">
        <x:v>生产车间；动/确</x:v>
      </x:c>
      <x:c r="F4" s="27" t="str">
        <x:v>workshop</x:v>
      </x:c>
      <x:c r="G4" s="27" t="str">
        <x:v>combination</x:v>
      </x:c>
      <x:c r="H4" s="27" t="str">
        <x:v>工件；机器；AGV；能源</x:v>
      </x:c>
      <x:c r="I4" s="27" t="str">
        <x:v>工序排序；机器分配；车辆/任务分配；运输排序；充电决策；恢复决策</x:v>
      </x:c>
      <x:c r="J4" s="27" t="str">
        <x:v>效率；能源；稳定性；多目标组合</x:v>
      </x:c>
      <x:c r="K4" s="27" t="str">
        <x:v>工序优先；机器可选/占用；有限车辆；位置；运输时间；电池/充电；故障不可用；状态继承</x:v>
      </x:c>
      <x:c r="L4" s="27" t="str">
        <x:v>见原文；未显式报告者不补猜</x:v>
      </x:c>
      <x:c r="M4" s="27" t="str">
        <x:v>dynamic deterministic</x:v>
      </x:c>
      <x:c r="N4" s="27" t="str">
        <x:v>online</x:v>
      </x:c>
      <x:c r="O4" s="27" t="str">
        <x:v>订单取消；机器故障；AGV故障</x:v>
      </x:c>
      <x:c r="P4" s="27" t="str">
        <x:v>订单取消；机器故障；AGV故障</x:v>
      </x:c>
      <x:c r="Q4" s="27" t="str">
        <x:v>动/确</x:v>
      </x:c>
      <x:c r="R4" s="27" t="str">
        <x:v>not reported</x:v>
      </x:c>
      <x:c r="S4" s="27" t="str">
        <x:v>工件；机器；AGV；能源</x:v>
      </x:c>
      <x:c r="T4" s="27" t="str">
        <x:v>见动态处理/恢复决策字段</x:v>
      </x:c>
      <x:c r="U4" s="27" t="str">
        <x:v>joint</x:v>
      </x:c>
      <x:c r="V4" s="27" t="str">
        <x:v>hybrid</x:v>
      </x:c>
      <x:c r="W4" s="27" t="str">
        <x:v>multi-objective combination</x:v>
      </x:c>
      <x:c r="X4" s="27" t="str">
        <x:v>核心研究对象；原分类=混合；动/确</x:v>
      </x:c>
      <x:c r="Y4" s="27" t="str">
        <x:v>OS–MS–AS 三段染色体</x:v>
      </x:c>
      <x:c r="Z4" s="27" t="str">
        <x:v>电量检查→充电→机器最早可行空档左移插入</x:v>
      </x:c>
      <x:c r="AA4" s="27" t="str">
        <x:v>编码保持可行，无复杂染色体修复</x:v>
      </x:c>
      <x:c r="AB4" s="27" t="str">
        <x:v>与对照统一 CPU 时间；动态重调度为初始调度时间的一半</x:v>
      </x:c>
      <x:c r="AC4" s="27" t="str">
        <x:v>混合初始化→NSGA-II；环境状态驱动 Q-learning 在 N1–N6 中选邻域，局部搜索嵌入每代进化</x:v>
      </x:c>
      <x:c r="AD4" s="27" t="str">
        <x:v>混合初始化→NSGA-II；环境状态驱动 Q-learning 在 N1–N6 中选邻域，局部搜索嵌入每代进化</x:v>
      </x:c>
      <x:c r="AE4" s="27" t="str">
        <x:v>扩展Brandimarte的EMK01–EMK10；10/15/20工件，3/4/5 AGV</x:v>
      </x:c>
      <x:c r="AF4" s="27" t="str">
        <x:v>10/15/20</x:v>
      </x:c>
      <x:c r="AG4" s="27" t="str">
        <x:v>随Brandimarte实例</x:v>
      </x:c>
      <x:c r="AH4" s="27" t="str">
        <x:v>见EMK实例</x:v>
      </x:c>
      <x:c r="AI4" s="27" t="str">
        <x:v>3/4/5</x:v>
      </x:c>
      <x:c r="AJ4" s="27" t="str">
        <x:v>原MK布局与运输矩阵</x:v>
      </x:c>
      <x:c r="AK4" s="27" t="str">
        <x:v>三档</x:v>
      </x:c>
      <x:c r="AL4" s="27" t="str">
        <x:v>消融A/B/C；NSGA-II、MOEA/D、MOPSO；IS/RS/CS</x:v>
      </x:c>
      <x:c r="AM4" s="27" t="str">
        <x:v>N=100；比较算法CPU时间相同；重调度时间为初始的一半</x:v>
      </x:c>
      <x:c r="AN4" s="27" t="str">
        <x:v>N=100；比较算法CPU时间相同；重调度时间为初始的一半</x:v>
      </x:c>
      <x:c r="AO4" s="27" t="str">
        <x:v>20</x:v>
      </x:c>
      <x:c r="AP4" s="27" t="str">
        <x:v>未报告</x:v>
      </x:c>
      <x:c r="AQ4" s="27" t="str">
        <x:v>Taguchi L9参数试验；结果以均值/箱线图报告</x:v>
      </x:c>
      <x:c r="AR4" s="27" t="str">
        <x:v>makespan、TEC、HV、IGD（各算法非支配并集替代真PF）、C-metric、RSI及MCR/σa/APSD</x:v>
      </x:c>
      <x:c r="AS4" s="27" t="str">
        <x:v>原始Markdown与N2/N4派生证据可用</x:v>
      </x:c>
      <x:c r="AT4" s="27" t="str">
        <x:v>文内结论与范围见N2引用与证据状态表</x:v>
      </x:c>
      <x:c r="AU4" s="27" t="str">
        <x:v>直接：Abstract；`three types of disturbances`；`event-driven rescheduling`；模型与编码章节；扩展Brandimarte；HV/IGD/C-metric；完整预算与重复协议待P02/N6映射</x:v>
      </x:c>
      <x:c r="AV4" s="27" t="str">
        <x:v>N5/N6深度抽取：B001 `5.1 Encoding and decoding`、Algorithms 5–6、`6.4`–`6.5`；B001 `6.1`–`6.5`</x:v>
      </x:c>
      <x:c r="AW4" s="27" t="str">
        <x:v>跨论文性能不可直接比较</x:v>
      </x:c>
      <x:c r="AX4" s="27" t="str">
        <x:v>深度抽取完成；原文未报告项已显式保留，不得补猜</x:v>
      </x:c>
      <x:c r="AY4" s="27" t="str">
        <x:v>direct evidence</x:v>
      </x:c>
      <x:c r="AZ4" s="27" t="str">
        <x:v>direct</x:v>
      </x:c>
      <x:c r="BA4" s="27" t="str">
        <x:v>Deep extraction complete</x:v>
      </x:c>
      <x:c r="BB4" s="27" t="str">
        <x:v>OK</x:v>
      </x:c>
    </x:row>
    <x:row r="5" ht="52.79999923706055" hidden="0" customHeight="1">
      <x:c r="A5" s="27" t="str">
        <x:v>L002-E01</x:v>
      </x:c>
      <x:c r="B5" s="27" t="str">
        <x:v>L002</x:v>
      </x:c>
      <x:c r="C5" s="27" t="str">
        <x:v>B002 `2.1 算法整体流程`、`2.2`、`2.3`、图7；B002 `3.1`–`3.3`</x:v>
      </x:c>
      <x:c r="D5" s="27" t="str">
        <x:v>Verified</x:v>
      </x:c>
      <x:c r="E5" s="27" t="str">
        <x:v>生产车间；静/确</x:v>
      </x:c>
      <x:c r="F5" s="27" t="str">
        <x:v>workshop</x:v>
      </x:c>
      <x:c r="G5" s="27" t="str">
        <x:v>combination</x:v>
      </x:c>
      <x:c r="H5" s="27" t="str">
        <x:v>工件；机器；AGV</x:v>
      </x:c>
      <x:c r="I5" s="27" t="str">
        <x:v>工序排序；机器分配；车辆/任务分配；运输排序</x:v>
      </x:c>
      <x:c r="J5" s="27" t="str">
        <x:v>效率</x:v>
      </x:c>
      <x:c r="K5" s="27" t="str">
        <x:v>工序优先；机器可选/占用；有限车辆；运输时间</x:v>
      </x:c>
      <x:c r="L5" s="27" t="str">
        <x:v>见原文；未显式报告者不补猜</x:v>
      </x:c>
      <x:c r="M5" s="27" t="str">
        <x:v>static deterministic</x:v>
      </x:c>
      <x:c r="N5" s="27" t="str">
        <x:v>offline</x:v>
      </x:c>
      <x:c r="O5" s="27" t="str">
        <x:v>无事件</x:v>
      </x:c>
      <x:c r="P5" s="27" t="str">
        <x:v>无事件</x:v>
      </x:c>
      <x:c r="Q5" s="27" t="str">
        <x:v>静/确</x:v>
      </x:c>
      <x:c r="R5" s="27" t="str">
        <x:v>not reported</x:v>
      </x:c>
      <x:c r="S5" s="27" t="str">
        <x:v>工件；机器；AGV</x:v>
      </x:c>
      <x:c r="T5" s="27" t="str">
        <x:v>见动态处理/恢复决策字段</x:v>
      </x:c>
      <x:c r="U5" s="27" t="str">
        <x:v>joint</x:v>
      </x:c>
      <x:c r="V5" s="27" t="str">
        <x:v>hybrid</x:v>
      </x:c>
      <x:c r="W5" s="27" t="str">
        <x:v>efficiency</x:v>
      </x:c>
      <x:c r="X5" s="27" t="str">
        <x:v>核心车间原始研究；原分类=混合；静/确</x:v>
      </x:c>
      <x:c r="Y5" s="27" t="str">
        <x:v>OS–MS–AS 三层工序编码</x:v>
      </x:c>
      <x:c r="Z5" s="27" t="str">
        <x:v>遍历机器可用时间并插入最早满足约束的空档</x:v>
      </x:c>
      <x:c r="AA5" s="27" t="str">
        <x:v>OS 邻域变异后按相同位置同步调整 MS；POX/PBX 保持段内可行</x:v>
      </x:c>
      <x:c r="AB5" s="27" t="str">
        <x:v>100 代</x:v>
      </x:c>
      <x:c r="AC5" s="27" t="str">
        <x:v>80%随机+20%启发式初始化→选择/交叉/变异→外部精英库；停滞时启发式引导变异</x:v>
      </x:c>
      <x:c r="AD5" s="27" t="str">
        <x:v>80%随机+20%启发式初始化→选择/交叉/变异→外部精英库；停滞时启发式引导变异</x:v>
      </x:c>
      <x:c r="AE5" s="27" t="str">
        <x:v>Deroussi 10例：5–8工件、2–5工序、8机器、2AGV；EX布局例：可选3机器、4布局、3AGV</x:v>
      </x:c>
      <x:c r="AF5" s="27" t="str">
        <x:v>5–8（数据集1）</x:v>
      </x:c>
      <x:c r="AG5" s="27" t="str">
        <x:v>每工件2–5（数据集1）</x:v>
      </x:c>
      <x:c r="AH5" s="27" t="str">
        <x:v>8（数据集1）</x:v>
      </x:c>
      <x:c r="AI5" s="27" t="str">
        <x:v>2（数据集1）；3（数据集2）</x:v>
      </x:c>
      <x:c r="AJ5" s="27" t="str">
        <x:v>4种布局（数据集2）</x:v>
      </x:c>
      <x:c r="AK5" s="27" t="str">
        <x:v>中小规模</x:v>
      </x:c>
      <x:c r="AL5" s="27" t="str">
        <x:v>GA、IGA及文内先进算法</x:v>
      </x:c>
      <x:c r="AM5" s="27" t="str">
        <x:v>pop=100，maxgen=100</x:v>
      </x:c>
      <x:c r="AN5" s="27" t="str">
        <x:v>pop=100，maxgen=100</x:v>
      </x:c>
      <x:c r="AO5" s="27" t="str">
        <x:v>未报告</x:v>
      </x:c>
      <x:c r="AP5" s="27" t="str">
        <x:v>未报告</x:v>
      </x:c>
      <x:c r="AQ5" s="27" t="str">
        <x:v>未报告</x:v>
      </x:c>
      <x:c r="AR5" s="27" t="str">
        <x:v>makespan Best/Mean</x:v>
      </x:c>
      <x:c r="AS5" s="27" t="str">
        <x:v>原始Markdown与N2/N4派生证据可用</x:v>
      </x:c>
      <x:c r="AT5" s="27" t="str">
        <x:v>文内结论与范围见N2引用与证据状态表</x:v>
      </x:c>
      <x:c r="AU5" s="27" t="str">
        <x:v>直接：摘要；`FJSP-AGV`；“不同编码段”；“最大完工时间”；静态FJSP–AGV算例；规模、重复和统计待N6抽取</x:v>
      </x:c>
      <x:c r="AV5" s="27" t="str">
        <x:v>N5/N6深度抽取：B002 `2.1 算法整体流程`、`2.2`、`2.3`、图7；B002 `3.1`–`3.3`</x:v>
      </x:c>
      <x:c r="AW5" s="27" t="str">
        <x:v>跨论文性能不可直接比较</x:v>
      </x:c>
      <x:c r="AX5" s="27" t="str">
        <x:v>深度抽取完成；原文未报告项已显式保留，不得补猜</x:v>
      </x:c>
      <x:c r="AY5" s="27" t="str">
        <x:v>direct evidence</x:v>
      </x:c>
      <x:c r="AZ5" s="27" t="str">
        <x:v>direct</x:v>
      </x:c>
      <x:c r="BA5" s="27" t="str">
        <x:v>Deep extraction complete</x:v>
      </x:c>
      <x:c r="BB5" s="27" t="str">
        <x:v>OK</x:v>
      </x:c>
    </x:row>
    <x:row r="6" ht="66" hidden="0" customHeight="1">
      <x:c r="A6" s="27" t="str">
        <x:v>L003-E01</x:v>
      </x:c>
      <x:c r="B6" s="27" t="str">
        <x:v>L003</x:v>
      </x:c>
      <x:c r="C6" s="27" t="str">
        <x:v>B003 `2.3 学习算法`、`5 仿真研究`；B003 `5 仿真研究`、表1</x:v>
      </x:c>
      <x:c r="D6" s="27" t="str">
        <x:v>Original-source verified</x:v>
      </x:c>
      <x:c r="E6" s="27" t="str">
        <x:v>通用运输（具体行业未报告）；动/未报</x:v>
      </x:c>
      <x:c r="F6" s="27" t="str">
        <x:v>transport</x:v>
      </x:c>
      <x:c r="G6" s="27" t="str">
        <x:v>vehicle assignment</x:v>
      </x:c>
      <x:c r="H6" s="27" t="str">
        <x:v>任务；AGV</x:v>
      </x:c>
      <x:c r="I6" s="27" t="str">
        <x:v>车辆/任务分配</x:v>
      </x:c>
      <x:c r="J6" s="27" t="str">
        <x:v>效率；未报告</x:v>
      </x:c>
      <x:c r="K6" s="27" t="str">
        <x:v>多智能体协作；离散动态状态</x:v>
      </x:c>
      <x:c r="L6" s="27" t="str">
        <x:v>见原文；未显式报告者不补猜</x:v>
      </x:c>
      <x:c r="M6" s="27" t="str">
        <x:v>other</x:v>
      </x:c>
      <x:c r="N6" s="27" t="str">
        <x:v>online</x:v>
      </x:c>
      <x:c r="O6" s="27" t="str">
        <x:v>任务/状态在线变化</x:v>
      </x:c>
      <x:c r="P6" s="27" t="str">
        <x:v>任务/状态在线变化</x:v>
      </x:c>
      <x:c r="Q6" s="27" t="str">
        <x:v>动/未报</x:v>
      </x:c>
      <x:c r="R6" s="27" t="str">
        <x:v>not reported</x:v>
      </x:c>
      <x:c r="S6" s="27" t="str">
        <x:v>任务；AGV</x:v>
      </x:c>
      <x:c r="T6" s="27" t="str">
        <x:v>见动态处理/恢复决策字段</x:v>
      </x:c>
      <x:c r="U6" s="27" t="str">
        <x:v>hierarchical</x:v>
      </x:c>
      <x:c r="V6" s="27" t="str">
        <x:v>learning-based</x:v>
      </x:c>
      <x:c r="W6" s="27" t="str">
        <x:v>efficiency</x:v>
      </x:c>
      <x:c r="X6" s="27" t="str">
        <x:v>路径/任务相邻研究；原分类=学习型；动/未报</x:v>
      </x:c>
      <x:c r="Y6" s="27" t="str">
        <x:v>MaxQ 子任务状态；状态含 AGV位置/载荷、缓冲区、加工与零件到达</x:v>
      </x:c>
      <x:c r="Z6" s="27" t="str">
        <x:v>基本动作执行后观察新状态与奖励，递阶更新完成函数</x:v>
      </x:c>
      <x:c r="AA6" s="27" t="str">
        <x:v>对到达非目标终止状态的子策略增加负奖励</x:v>
      </x:c>
      <x:c r="AB6" s="27" t="str">
        <x:v>到达各子任务终止状态集</x:v>
      </x:c>
      <x:c r="AC6" s="27" t="str">
        <x:v>从根任务递阶展开到基本动作；局部策略更新后向上级传递完成函数</x:v>
      </x:c>
      <x:c r="AD6" s="27" t="str">
        <x:v>从根任务递阶展开到基本动作；局部策略更新后向上级传递完成函数</x:v>
      </x:c>
      <x:c r="AE6" s="27" t="str">
        <x:v>图2离散事件AGV系统；20位置点、9种载荷状态及缓冲/到达状态</x:v>
      </x:c>
      <x:c r="AF6" s="27" t="str">
        <x:v>未报告</x:v>
      </x:c>
      <x:c r="AG6" s="27" t="str">
        <x:v>未报告</x:v>
      </x:c>
      <x:c r="AH6" s="27" t="str">
        <x:v>加工台数量见图2/表1</x:v>
      </x:c>
      <x:c r="AI6" s="27" t="str">
        <x:v>多AGV，数量未报告</x:v>
      </x:c>
      <x:c r="AJ6" s="27" t="str">
        <x:v>20个AGV位置点</x:v>
      </x:c>
      <x:c r="AK6" s="27" t="str">
        <x:v>案例仿真</x:v>
      </x:c>
      <x:c r="AL6" s="27" t="str">
        <x:v>启发式/无学习策略对照信息不完整</x:v>
      </x:c>
      <x:c r="AM6" s="27" t="str">
        <x:v>学习参数见表1；明确总训练预算未报告</x:v>
      </x:c>
      <x:c r="AN6" s="27" t="str">
        <x:v>学习参数见表1；明确总训练预算未报告</x:v>
      </x:c>
      <x:c r="AO6" s="27" t="str">
        <x:v>未报告</x:v>
      </x:c>
      <x:c r="AP6" s="27" t="str">
        <x:v>未报告</x:v>
      </x:c>
      <x:c r="AQ6" s="27" t="str">
        <x:v>未报告</x:v>
      </x:c>
      <x:c r="AR6" s="27" t="str">
        <x:v>累积奖励、调度/运输性能</x:v>
      </x:c>
      <x:c r="AS6" s="27" t="str">
        <x:v>原始Markdown与N2/N4派生证据可用</x:v>
      </x:c>
      <x:c r="AT6" s="27" t="str">
        <x:v>文内结论与范围见N2引用与证据状态表</x:v>
      </x:c>
      <x:c r="AU6" s="27" t="str">
        <x:v>直接：摘要“离散动态特性”“实时动态调度”；限制：具体随机模型与场景未报告；多智能体AGV实验；具体场景和随机协议未报告</x:v>
      </x:c>
      <x:c r="AV6" s="27" t="str">
        <x:v>N5/N6深度抽取：B003 `2.3 学习算法`、`5 仿真研究`；B003 `5 仿真研究`、表1</x:v>
      </x:c>
      <x:c r="AW6" s="27" t="str">
        <x:v>随机性/事件生成机制不完整</x:v>
      </x:c>
      <x:c r="AX6" s="27" t="str">
        <x:v>深度抽取完成；原文未报告项已显式保留，不得补猜</x:v>
      </x:c>
      <x:c r="AY6" s="27" t="str">
        <x:v>direct evidence</x:v>
      </x:c>
      <x:c r="AZ6" s="27" t="str">
        <x:v>direct</x:v>
      </x:c>
      <x:c r="BA6" s="27" t="str">
        <x:v>Deep extraction complete</x:v>
      </x:c>
      <x:c r="BB6" s="27" t="str">
        <x:v>OK</x:v>
      </x:c>
    </x:row>
    <x:row r="7" ht="52.79999923706055" hidden="0" customHeight="1">
      <x:c r="A7" s="27" t="str">
        <x:v>L004-E01</x:v>
      </x:c>
      <x:c r="B7" s="27" t="str">
        <x:v>L004</x:v>
      </x:c>
      <x:c r="C7" s="27" t="str">
        <x:v>B004 `3 算法`、`4.1 实验设置`；B004 `4.1`–`4.2`</x:v>
      </x:c>
      <x:c r="D7" s="27" t="str">
        <x:v>Verified</x:v>
      </x:c>
      <x:c r="E7" s="27" t="str">
        <x:v>生产车间；静/确</x:v>
      </x:c>
      <x:c r="F7" s="27" t="str">
        <x:v>workshop</x:v>
      </x:c>
      <x:c r="G7" s="27" t="str">
        <x:v>combination</x:v>
      </x:c>
      <x:c r="H7" s="27" t="str">
        <x:v>工序；机器；AGV</x:v>
      </x:c>
      <x:c r="I7" s="27" t="str">
        <x:v>工序排序；机器分配；车辆/任务分配</x:v>
      </x:c>
      <x:c r="J7" s="27" t="str">
        <x:v>效率；稳定性；鲁棒性</x:v>
      </x:c>
      <x:c r="K7" s="27" t="str">
        <x:v>工序优先；机器可选/占用；运输关系与时间</x:v>
      </x:c>
      <x:c r="L7" s="27" t="str">
        <x:v>见原文；未显式报告者不补猜</x:v>
      </x:c>
      <x:c r="M7" s="27" t="str">
        <x:v>static deterministic</x:v>
      </x:c>
      <x:c r="N7" s="27" t="str">
        <x:v>offline</x:v>
      </x:c>
      <x:c r="O7" s="27" t="str">
        <x:v>无事件</x:v>
      </x:c>
      <x:c r="P7" s="27" t="str">
        <x:v>无事件</x:v>
      </x:c>
      <x:c r="Q7" s="27" t="str">
        <x:v>静/确</x:v>
      </x:c>
      <x:c r="R7" s="27" t="str">
        <x:v>not reported</x:v>
      </x:c>
      <x:c r="S7" s="27" t="str">
        <x:v>工序；机器；AGV</x:v>
      </x:c>
      <x:c r="T7" s="27" t="str">
        <x:v>见动态处理/恢复决策字段</x:v>
      </x:c>
      <x:c r="U7" s="27" t="str">
        <x:v>joint</x:v>
      </x:c>
      <x:c r="V7" s="27" t="str">
        <x:v>learning-based</x:v>
      </x:c>
      <x:c r="W7" s="27" t="str">
        <x:v>robustness</x:v>
      </x:c>
      <x:c r="X7" s="27" t="str">
        <x:v>核心车间原始研究；原分类=学习型；静/确</x:v>
      </x:c>
      <x:c r="Y7" s="27" t="str">
        <x:v>异构图状态；工序、机器、AGV节点及关系；联合动作</x:v>
      </x:c>
      <x:c r="Z7" s="27" t="str">
        <x:v>动作选择后更新工序加工与 AGV运输状态</x:v>
      </x:c>
      <x:c r="AA7" s="27" t="str">
        <x:v>可行动作掩码/约束筛除不可执行联合动作</x:v>
      </x:c>
      <x:c r="AB7" s="27" t="str">
        <x:v>回合完成全部工序；训练预算见原文实验设置</x:v>
      </x:c>
      <x:c r="AC7" s="27" t="str">
        <x:v>异构图注意力编码→联合策略输出→环境推进→策略梯度更新；注意力与联合动作空间是核心插入点</x:v>
      </x:c>
      <x:c r="AD7" s="27" t="str">
        <x:v>异构图注意力编码→联合策略输出→环境推进→策略梯度更新；注意力与联合动作空间是核心插入点</x:v>
      </x:c>
      <x:c r="AE7" s="27" t="str">
        <x:v>合成FJSP-AGV不同规模算例</x:v>
      </x:c>
      <x:c r="AF7" s="27" t="str">
        <x:v>见合成算例表</x:v>
      </x:c>
      <x:c r="AG7" s="27" t="str">
        <x:v>见合成算例表</x:v>
      </x:c>
      <x:c r="AH7" s="27" t="str">
        <x:v>见合成算例表</x:v>
      </x:c>
      <x:c r="AI7" s="27" t="str">
        <x:v>见合成算例表</x:v>
      </x:c>
      <x:c r="AJ7" s="27" t="str">
        <x:v>未报告</x:v>
      </x:c>
      <x:c r="AK7" s="27" t="str">
        <x:v>多规模</x:v>
      </x:c>
      <x:c r="AL7" s="27" t="str">
        <x:v>规则、传统DRL及消融对照（以原文表为准）</x:v>
      </x:c>
      <x:c r="AM7" s="27" t="str">
        <x:v>超参数与训练设置见§4.1；统一停止口径未报告</x:v>
      </x:c>
      <x:c r="AN7" s="27" t="str">
        <x:v>超参数与训练设置见§4.1；统一停止口径未报告</x:v>
      </x:c>
      <x:c r="AO7" s="27" t="str">
        <x:v>未报告</x:v>
      </x:c>
      <x:c r="AP7" s="27" t="str">
        <x:v>未报告</x:v>
      </x:c>
      <x:c r="AQ7" s="27" t="str">
        <x:v>未报告</x:v>
      </x:c>
      <x:c r="AR7" s="27" t="str">
        <x:v>makespan、综合目标、稳定/鲁棒表现</x:v>
      </x:c>
      <x:c r="AS7" s="27" t="str">
        <x:v>原始Markdown与N2/N4派生证据可用</x:v>
      </x:c>
      <x:c r="AT7" s="27" t="str">
        <x:v>文内结论与范围见N2引用与证据状态表</x:v>
      </x:c>
      <x:c r="AU7" s="27" t="str">
        <x:v>直接：摘要“异构图状态”“联合动作空间”“协同决策”；静态联合调度实验；稳定性/鲁棒性协议待N6抽取</x:v>
      </x:c>
      <x:c r="AV7" s="27" t="str">
        <x:v>N5/N6深度抽取：B004 `3 算法`、`4.1 实验设置`；B004 `4.1`–`4.2`</x:v>
      </x:c>
      <x:c r="AW7" s="27" t="str">
        <x:v>跨论文性能不可直接比较</x:v>
      </x:c>
      <x:c r="AX7" s="27" t="str">
        <x:v>深度抽取完成；原文未报告项已显式保留，不得补猜</x:v>
      </x:c>
      <x:c r="AY7" s="27" t="str">
        <x:v>direct evidence</x:v>
      </x:c>
      <x:c r="AZ7" s="27" t="str">
        <x:v>direct</x:v>
      </x:c>
      <x:c r="BA7" s="27" t="str">
        <x:v>Deep extraction complete</x:v>
      </x:c>
      <x:c r="BB7" s="27" t="str">
        <x:v>OK</x:v>
      </x:c>
    </x:row>
    <x:row r="8" ht="52.79999923706055" hidden="0" customHeight="1">
      <x:c r="A8" s="27" t="str">
        <x:v>L005-E01</x:v>
      </x:c>
      <x:c r="B8" s="27" t="str">
        <x:v>L005</x:v>
      </x:c>
      <x:c r="C8" s="27" t="str">
        <x:v>B005 `2.2 编码`、`2.3 解码`、邻域结构、`3.1`；B005 `3.1`–`3.3`</x:v>
      </x:c>
      <x:c r="D8" s="27" t="str">
        <x:v>Original-source verified</x:v>
      </x:c>
      <x:c r="E8" s="27" t="str">
        <x:v>生产车间（针织）；静/确</x:v>
      </x:c>
      <x:c r="F8" s="27" t="str">
        <x:v>workshop</x:v>
      </x:c>
      <x:c r="G8" s="27" t="str">
        <x:v>combination</x:v>
      </x:c>
      <x:c r="H8" s="27" t="str">
        <x:v>任务；机器；异构AGV</x:v>
      </x:c>
      <x:c r="I8" s="27" t="str">
        <x:v>运输排序；车辆/任务分配；资源配置</x:v>
      </x:c>
      <x:c r="J8" s="27" t="str">
        <x:v>效率；稳定性</x:v>
      </x:c>
      <x:c r="K8" s="27" t="str">
        <x:v>异构车辆；有限车辆；机器顺序相关准备时间</x:v>
      </x:c>
      <x:c r="L8" s="27" t="str">
        <x:v>见原文；未显式报告者不补猜</x:v>
      </x:c>
      <x:c r="M8" s="27" t="str">
        <x:v>static deterministic</x:v>
      </x:c>
      <x:c r="N8" s="27" t="str">
        <x:v>offline</x:v>
      </x:c>
      <x:c r="O8" s="27" t="str">
        <x:v>无事件</x:v>
      </x:c>
      <x:c r="P8" s="27" t="str">
        <x:v>无事件</x:v>
      </x:c>
      <x:c r="Q8" s="27" t="str">
        <x:v>静/确</x:v>
      </x:c>
      <x:c r="R8" s="27" t="str">
        <x:v>not reported</x:v>
      </x:c>
      <x:c r="S8" s="27" t="str">
        <x:v>任务；机器；异构AGV</x:v>
      </x:c>
      <x:c r="T8" s="27" t="str">
        <x:v>见动态处理/恢复决策字段</x:v>
      </x:c>
      <x:c r="U8" s="27" t="str">
        <x:v>joint</x:v>
      </x:c>
      <x:c r="V8" s="27" t="str">
        <x:v>hybrid</x:v>
      </x:c>
      <x:c r="W8" s="27" t="str">
        <x:v>robustness</x:v>
      </x:c>
      <x:c r="X8" s="27" t="str">
        <x:v>核心车间原始研究；原分类=混合；静/确</x:v>
      </x:c>
      <x:c r="Y8" s="27" t="str">
        <x:v>任务排序–AGV分配–AGV数量三层编码</x:v>
      </x:c>
      <x:c r="Z8" s="27" t="str">
        <x:v>顺序解码任务与车辆分配并计算最大完工时间</x:v>
      </x:c>
      <x:c r="AA8" s="27" t="str">
        <x:v>邻域生成后按问题约束保留有效任务序列/车辆层</x:v>
      </x:c>
      <x:c r="AB8" s="27" t="str">
        <x:v>200 代</x:v>
      </x:c>
      <x:c r="AC8" s="27" t="str">
        <x:v>FOA嗅觉/视觉搜索；Q-learning在 N1–N5 中选邻域，初始化与种群合并分别嵌入初始化和视觉阶段</x:v>
      </x:c>
      <x:c r="AD8" s="27" t="str">
        <x:v>FOA嗅觉/视觉搜索；Q-learning在 N1–N5 中选邻域，初始化与种群合并分别嵌入初始化和视觉阶段</x:v>
      </x:c>
      <x:c r="AE8" s="27" t="str">
        <x:v>自建27例；25/50/100工件，5/25/50机器，2/10/16 AGV，3工序、2类AGV</x:v>
      </x:c>
      <x:c r="AF8" s="27" t="str">
        <x:v>25/50/100</x:v>
      </x:c>
      <x:c r="AG8" s="27" t="str">
        <x:v>每工件3</x:v>
      </x:c>
      <x:c r="AH8" s="27" t="str">
        <x:v>5/25/50</x:v>
      </x:c>
      <x:c r="AI8" s="27" t="str">
        <x:v>2/10/16（2类）</x:v>
      </x:c>
      <x:c r="AJ8" s="27" t="str">
        <x:v>针织车间运输时间矩阵</x:v>
      </x:c>
      <x:c r="AK8" s="27" t="str">
        <x:v>三档；27例</x:v>
      </x:c>
      <x:c r="AL8" s="27" t="str">
        <x:v>FOA-1/FOA-2消融；FOA、IGA、IGWO、IPSO、IABC、QABC</x:v>
      </x:c>
      <x:c r="AM8" s="27" t="str">
        <x:v>pop=200，200代；ε=.8、γ=.6、α=.2</x:v>
      </x:c>
      <x:c r="AN8" s="27" t="str">
        <x:v>pop=200，200代；ε=.8、γ=.6、α=.2</x:v>
      </x:c>
      <x:c r="AO8" s="27" t="str">
        <x:v>10</x:v>
      </x:c>
      <x:c r="AP8" s="27" t="str">
        <x:v>未报告</x:v>
      </x:c>
      <x:c r="AQ8" s="27" t="str">
        <x:v>未报告</x:v>
      </x:c>
      <x:c r="AR8" s="27" t="str">
        <x:v>min、avg、RPD、箱线图/收敛曲线</x:v>
      </x:c>
      <x:c r="AS8" s="27" t="str">
        <x:v>原始Markdown与N2/N4派生证据可用</x:v>
      </x:c>
      <x:c r="AT8" s="27" t="str">
        <x:v>文内结论与范围见N2引用与证据状态表</x:v>
      </x:c>
      <x:c r="AU8" s="27" t="str">
        <x:v>直接：摘要“异构AGV”“资源配置优化模型”“三层编码”；针织车间资源配置实验；卷期与完整协议待更新</x:v>
      </x:c>
      <x:c r="AV8" s="27" t="str">
        <x:v>N5/N6深度抽取：B005 `2.2 编码`、`2.3 解码`、邻域结构、`3.1`；B005 `3.1`–`3.3`</x:v>
      </x:c>
      <x:c r="AW8" s="27" t="str">
        <x:v>跨论文性能不可直接比较</x:v>
      </x:c>
      <x:c r="AX8" s="27" t="str">
        <x:v>深度抽取完成；原文未报告项已显式保留，不得补猜</x:v>
      </x:c>
      <x:c r="AY8" s="27" t="str">
        <x:v>direct evidence</x:v>
      </x:c>
      <x:c r="AZ8" s="27" t="str">
        <x:v>direct</x:v>
      </x:c>
      <x:c r="BA8" s="27" t="str">
        <x:v>Deep extraction complete</x:v>
      </x:c>
      <x:c r="BB8" s="27" t="str">
        <x:v>OK</x:v>
      </x:c>
    </x:row>
    <x:row r="9" ht="52.79999923706055" hidden="0" customHeight="1">
      <x:c r="A9" s="27" t="str">
        <x:v>L006-E01</x:v>
      </x:c>
      <x:c r="B9" s="27" t="str">
        <x:v>L006</x:v>
      </x:c>
      <x:c r="C9" s="27" t="str">
        <x:v>B006 第3章、`5 结论与展望`；B006 第3章</x:v>
      </x:c>
      <x:c r="D9" s="27" t="str">
        <x:v>Verified</x:v>
      </x:c>
      <x:c r="E9" s="27" t="str">
        <x:v>跨场景（综述，以3C车间为主）；跨/跨</x:v>
      </x:c>
      <x:c r="F9" s="27" t="str">
        <x:v>other</x:v>
      </x:c>
      <x:c r="G9" s="27" t="str">
        <x:v>combination</x:v>
      </x:c>
      <x:c r="H9" s="27" t="str">
        <x:v>任务；AGV；路网；管理系统</x:v>
      </x:c>
      <x:c r="I9" s="27" t="str">
        <x:v>车辆/任务分配；路径规划；冲突控制；恢复决策</x:v>
      </x:c>
      <x:c r="J9" s="27" t="str">
        <x:v>跨类型（综述）</x:v>
      </x:c>
      <x:c r="K9" s="27" t="str">
        <x:v>任务数据库；路径；多机协同；动态管控</x:v>
      </x:c>
      <x:c r="L9" s="27" t="str">
        <x:v>见原文；未显式报告者不补猜</x:v>
      </x:c>
      <x:c r="M9" s="27" t="str">
        <x:v>not reported</x:v>
      </x:c>
      <x:c r="N9" s="27" t="str">
        <x:v>not reported</x:v>
      </x:c>
      <x:c r="O9" s="27" t="str">
        <x:v>跨类型（综述）</x:v>
      </x:c>
      <x:c r="P9" s="27" t="str">
        <x:v>跨类型（综述）</x:v>
      </x:c>
      <x:c r="Q9" s="27" t="str">
        <x:v>跨/跨</x:v>
      </x:c>
      <x:c r="R9" s="27" t="str">
        <x:v>not reported</x:v>
      </x:c>
      <x:c r="S9" s="27" t="str">
        <x:v>任务；AGV；路网；管理系统</x:v>
      </x:c>
      <x:c r="T9" s="27" t="str">
        <x:v>见动态处理/恢复决策字段</x:v>
      </x:c>
      <x:c r="U9" s="27" t="str">
        <x:v>unclear</x:v>
      </x:c>
      <x:c r="V9" s="27" t="str">
        <x:v>not reported</x:v>
      </x:c>
      <x:c r="W9" s="27" t="str">
        <x:v>efficiency</x:v>
      </x:c>
      <x:c r="X9" s="27" t="str">
        <x:v>综述；原分类=跨类型（综述）；跨/跨</x:v>
      </x:c>
      <x:c r="Y9" s="27" t="str">
        <x:v>不适用（综述）</x:v>
      </x:c>
      <x:c r="Z9" s="27" t="str">
        <x:v>不适用（综述）</x:v>
      </x:c>
      <x:c r="AA9" s="27" t="str">
        <x:v>综述归纳路径规划、多机协同、动态管控中的冲突处理</x:v>
      </x:c>
      <x:c r="AB9" s="27" t="str">
        <x:v>不适用（综述）</x:v>
      </x:c>
      <x:c r="AC9" s="27" t="str">
        <x:v>任务数据库→路径规划→多机协同→动态管控→管理系统，为技术链而非单一优化器</x:v>
      </x:c>
      <x:c r="AD9" s="27" t="str">
        <x:v>任务数据库→路径规划→多机协同→动态管控→管理系统，为技术链而非单一优化器</x:v>
      </x:c>
      <x:c r="AE9" s="27" t="str">
        <x:v>不适用（综述）</x:v>
      </x:c>
      <x:c r="AF9" s="27" t="str">
        <x:v>不适用（综述）</x:v>
      </x:c>
      <x:c r="AG9" s="27" t="str">
        <x:v>不适用（综述）</x:v>
      </x:c>
      <x:c r="AH9" s="27" t="str">
        <x:v>不适用（综述）</x:v>
      </x:c>
      <x:c r="AI9" s="27" t="str">
        <x:v>不适用（综述）</x:v>
      </x:c>
      <x:c r="AJ9" s="27" t="str">
        <x:v>跨场景</x:v>
      </x:c>
      <x:c r="AK9" s="27" t="str">
        <x:v>综述</x:v>
      </x:c>
      <x:c r="AL9" s="27" t="str">
        <x:v>不适用（综述）</x:v>
      </x:c>
      <x:c r="AM9" s="27" t="str">
        <x:v>不适用（综述）</x:v>
      </x:c>
      <x:c r="AN9" s="27" t="str">
        <x:v>不适用（综述）</x:v>
      </x:c>
      <x:c r="AO9" s="27" t="str">
        <x:v>不适用（综述）</x:v>
      </x:c>
      <x:c r="AP9" s="27" t="str">
        <x:v>不适用（综述）</x:v>
      </x:c>
      <x:c r="AQ9" s="27" t="str">
        <x:v>不适用（综述）</x:v>
      </x:c>
      <x:c r="AR9" s="27" t="str">
        <x:v>无统一实验指标</x:v>
      </x:c>
      <x:c r="AS9" s="27" t="str">
        <x:v>原始Markdown与N2/N4派生证据可用</x:v>
      </x:c>
      <x:c r="AT9" s="27" t="str">
        <x:v>文内结论与范围见N2引用与证据状态表</x:v>
      </x:c>
      <x:c r="AU9" s="27" t="str">
        <x:v>直接：摘要；“关键技术”；第3章；不作单一实验情境编码；综述，无统一实验协议</x:v>
      </x:c>
      <x:c r="AV9" s="27" t="str">
        <x:v>N5/N6深度抽取：B006 第3章、`5 结论与展望`；B006 第3章</x:v>
      </x:c>
      <x:c r="AW9" s="27" t="str">
        <x:v>跨论文性能不可直接比较</x:v>
      </x:c>
      <x:c r="AX9" s="27" t="str">
        <x:v>N5/N6字段已完成原文深度抽取</x:v>
      </x:c>
      <x:c r="AY9" s="27" t="str">
        <x:v>direct evidence</x:v>
      </x:c>
      <x:c r="AZ9" s="27" t="str">
        <x:v>direct</x:v>
      </x:c>
      <x:c r="BA9" s="27" t="str">
        <x:v>Deep extraction complete</x:v>
      </x:c>
      <x:c r="BB9" s="27" t="str">
        <x:v>OK</x:v>
      </x:c>
    </x:row>
    <x:row r="10" ht="52.79999923706055" hidden="0" customHeight="1">
      <x:c r="A10" s="27" t="str">
        <x:v>L007-E01</x:v>
      </x:c>
      <x:c r="B10" s="27" t="str">
        <x:v>L007</x:v>
      </x:c>
      <x:c r="C10" s="27" t="str">
        <x:v>B007 `2.2`、`3 AGV碰撞检测及避免算法`；B007 `4.1`–`4.2`</x:v>
      </x:c>
      <x:c r="D10" s="27" t="str">
        <x:v>Verified</x:v>
      </x:c>
      <x:c r="E10" s="27" t="str">
        <x:v>生产车间（半导体）；静/确</x:v>
      </x:c>
      <x:c r="F10" s="27" t="str">
        <x:v>workshop</x:v>
      </x:c>
      <x:c r="G10" s="27" t="str">
        <x:v>combination</x:v>
      </x:c>
      <x:c r="H10" s="27" t="str">
        <x:v>搬运任务；AGV；路网/工位</x:v>
      </x:c>
      <x:c r="I10" s="27" t="str">
        <x:v>车辆/任务分配；路径规划；冲突控制</x:v>
      </x:c>
      <x:c r="J10" s="27" t="str">
        <x:v>效率；安全</x:v>
      </x:c>
      <x:c r="K10" s="27" t="str">
        <x:v>路径互斥；运输任务；有限车辆</x:v>
      </x:c>
      <x:c r="L10" s="27" t="str">
        <x:v>见原文；未显式报告者不补猜</x:v>
      </x:c>
      <x:c r="M10" s="27" t="str">
        <x:v>static deterministic</x:v>
      </x:c>
      <x:c r="N10" s="27" t="str">
        <x:v>offline</x:v>
      </x:c>
      <x:c r="O10" s="27" t="str">
        <x:v>碰撞风险</x:v>
      </x:c>
      <x:c r="P10" s="27" t="str">
        <x:v>碰撞风险</x:v>
      </x:c>
      <x:c r="Q10" s="27" t="str">
        <x:v>静/确</x:v>
      </x:c>
      <x:c r="R10" s="27" t="str">
        <x:v>not reported</x:v>
      </x:c>
      <x:c r="S10" s="27" t="str">
        <x:v>搬运任务；AGV；路网/工位</x:v>
      </x:c>
      <x:c r="T10" s="27" t="str">
        <x:v>见动态处理/恢复决策字段</x:v>
      </x:c>
      <x:c r="U10" s="27" t="str">
        <x:v>sequential</x:v>
      </x:c>
      <x:c r="V10" s="27" t="str">
        <x:v>hybrid</x:v>
      </x:c>
      <x:c r="W10" s="27" t="str">
        <x:v>safety</x:v>
      </x:c>
      <x:c r="X10" s="27" t="str">
        <x:v>路径/任务相邻研究；原分类=混合；静/确</x:v>
      </x:c>
      <x:c r="Y10" s="27" t="str">
        <x:v>运输任务、AGV与有向路网状态</x:v>
      </x:c>
      <x:c r="Z10" s="27" t="str">
        <x:v>先按时间优先级分配任务，再生成路径</x:v>
      </x:c>
      <x:c r="AA10" s="27" t="str">
        <x:v>时空占用检测；等待/改道消除节点与相向冲突</x:v>
      </x:c>
      <x:c r="AB10" s="27" t="str">
        <x:v>全部任务完成</x:v>
      </x:c>
      <x:c r="AC10" s="27" t="str">
        <x:v>两阶段任务分配→路径规划→碰撞检测与避免</x:v>
      </x:c>
      <x:c r="AD10" s="27" t="str">
        <x:v>两阶段任务分配→路径规划→碰撞检测与避免</x:v>
      </x:c>
      <x:c r="AE10" s="27" t="str">
        <x:v>半导体车间小规模与480任务大规模仿真</x:v>
      </x:c>
      <x:c r="AF10" s="27" t="str">
        <x:v>运输任务；大规模480任务</x:v>
      </x:c>
      <x:c r="AG10" s="27" t="str">
        <x:v>不适用</x:v>
      </x:c>
      <x:c r="AH10" s="27" t="str">
        <x:v>半导体工位，数量见算例</x:v>
      </x:c>
      <x:c r="AI10" s="27" t="str">
        <x:v>多AGV，数量见算例</x:v>
      </x:c>
      <x:c r="AJ10" s="27" t="str">
        <x:v>半导体有向路网</x:v>
      </x:c>
      <x:c r="AK10" s="27" t="str">
        <x:v>小/大规模</x:v>
      </x:c>
      <x:c r="AL10" s="27" t="str">
        <x:v>两阶段方法与分配/路径规则对照</x:v>
      </x:c>
      <x:c r="AM10" s="27" t="str">
        <x:v>停止为任务完成；计算预算未报告</x:v>
      </x:c>
      <x:c r="AN10" s="27" t="str">
        <x:v>停止为任务完成；计算预算未报告</x:v>
      </x:c>
      <x:c r="AO10" s="27" t="str">
        <x:v>未报告</x:v>
      </x:c>
      <x:c r="AP10" s="27" t="str">
        <x:v>未报告</x:v>
      </x:c>
      <x:c r="AQ10" s="27" t="str">
        <x:v>未报告</x:v>
      </x:c>
      <x:c r="AR10" s="27" t="str">
        <x:v>完成时间、运输/等待、冲突及灵敏度</x:v>
      </x:c>
      <x:c r="AS10" s="27" t="str">
        <x:v>原始Markdown与N2/N4派生证据可用</x:v>
      </x:c>
      <x:c r="AT10" s="27" t="str">
        <x:v>文内结论与范围见N2引用与证据状态表</x:v>
      </x:c>
      <x:c r="AU10" s="27" t="str">
        <x:v>直接：摘要/关键词；“两阶段算法”；“碰撞检测与避免”；“480”；半导体车间；文中含480任务锚点与灵敏度分析</x:v>
      </x:c>
      <x:c r="AV10" s="27" t="str">
        <x:v>N5/N6深度抽取：B007 `2.2`、`3 AGV碰撞检测及避免算法`；B007 `4.1`–`4.2`</x:v>
      </x:c>
      <x:c r="AW10" s="27" t="str">
        <x:v>跨论文性能不可直接比较</x:v>
      </x:c>
      <x:c r="AX10" s="27" t="str">
        <x:v>深度抽取完成；原文未报告项已显式保留，不得补猜</x:v>
      </x:c>
      <x:c r="AY10" s="27" t="str">
        <x:v>direct evidence</x:v>
      </x:c>
      <x:c r="AZ10" s="27" t="str">
        <x:v>direct</x:v>
      </x:c>
      <x:c r="BA10" s="27" t="str">
        <x:v>Deep extraction complete</x:v>
      </x:c>
      <x:c r="BB10" s="27" t="str">
        <x:v>OK</x:v>
      </x:c>
    </x:row>
    <x:row r="11" ht="52.79999923706055" hidden="0" customHeight="1">
      <x:c r="A11" s="27" t="str">
        <x:v>L008-E01</x:v>
      </x:c>
      <x:c r="B11" s="27" t="str">
        <x:v>L008</x:v>
      </x:c>
      <x:c r="C11" s="27" t="str">
        <x:v>B008 第2章、`3 结论与展望`；B008 第2章</x:v>
      </x:c>
      <x:c r="D11" s="27" t="str">
        <x:v>Original-source verified</x:v>
      </x:c>
      <x:c r="E11" s="27" t="str">
        <x:v>仓储；跨/跨</x:v>
      </x:c>
      <x:c r="F11" s="27" t="str">
        <x:v>warehouse</x:v>
      </x:c>
      <x:c r="G11" s="27" t="str">
        <x:v>combination</x:v>
      </x:c>
      <x:c r="H11" s="27" t="str">
        <x:v>AGV；路网</x:v>
      </x:c>
      <x:c r="I11" s="27" t="str">
        <x:v>路径规划；冲突控制</x:v>
      </x:c>
      <x:c r="J11" s="27" t="str">
        <x:v>安全；效率；跨类型（综述）</x:v>
      </x:c>
      <x:c r="K11" s="27" t="str">
        <x:v>路径互斥；无碰撞；死锁</x:v>
      </x:c>
      <x:c r="L11" s="27" t="str">
        <x:v>见原文；未显式报告者不补猜</x:v>
      </x:c>
      <x:c r="M11" s="27" t="str">
        <x:v>not reported</x:v>
      </x:c>
      <x:c r="N11" s="27" t="str">
        <x:v>not reported</x:v>
      </x:c>
      <x:c r="O11" s="27" t="str">
        <x:v>碰撞风险；死锁风险；拥堵</x:v>
      </x:c>
      <x:c r="P11" s="27" t="str">
        <x:v>碰撞风险；死锁风险；拥堵</x:v>
      </x:c>
      <x:c r="Q11" s="27" t="str">
        <x:v>跨/跨</x:v>
      </x:c>
      <x:c r="R11" s="27" t="str">
        <x:v>not reported</x:v>
      </x:c>
      <x:c r="S11" s="27" t="str">
        <x:v>AGV；路网</x:v>
      </x:c>
      <x:c r="T11" s="27" t="str">
        <x:v>见动态处理/恢复决策字段</x:v>
      </x:c>
      <x:c r="U11" s="27" t="str">
        <x:v>unclear</x:v>
      </x:c>
      <x:c r="V11" s="27" t="str">
        <x:v>not reported</x:v>
      </x:c>
      <x:c r="W11" s="27" t="str">
        <x:v>safety</x:v>
      </x:c>
      <x:c r="X11" s="27" t="str">
        <x:v>综述；原分类=跨类型（综述）；跨/跨</x:v>
      </x:c>
      <x:c r="Y11" s="27" t="str">
        <x:v>不适用（综述）</x:v>
      </x:c>
      <x:c r="Z11" s="27" t="str">
        <x:v>不适用（综述）</x:v>
      </x:c>
      <x:c r="AA11" s="27" t="str">
        <x:v>按碰撞、死锁及启发式/强化学习方法归纳</x:v>
      </x:c>
      <x:c r="AB11" s="27" t="str">
        <x:v>不适用（综述）</x:v>
      </x:c>
      <x:c r="AC11" s="27" t="str">
        <x:v>方法分类与趋势综合，不构成单一调用链</x:v>
      </x:c>
      <x:c r="AD11" s="27" t="str">
        <x:v>方法分类与趋势综合，不构成单一调用链</x:v>
      </x:c>
      <x:c r="AE11" s="27" t="str">
        <x:v>不适用（综述）</x:v>
      </x:c>
      <x:c r="AF11" s="27" t="str">
        <x:v>不适用（综述）</x:v>
      </x:c>
      <x:c r="AG11" s="27" t="str">
        <x:v>不适用（综述）</x:v>
      </x:c>
      <x:c r="AH11" s="27" t="str">
        <x:v>不适用（综述）</x:v>
      </x:c>
      <x:c r="AI11" s="27" t="str">
        <x:v>不适用（综述）</x:v>
      </x:c>
      <x:c r="AJ11" s="27" t="str">
        <x:v>仓储路网综述</x:v>
      </x:c>
      <x:c r="AK11" s="27" t="str">
        <x:v>综述</x:v>
      </x:c>
      <x:c r="AL11" s="27" t="str">
        <x:v>不适用（综述）</x:v>
      </x:c>
      <x:c r="AM11" s="27" t="str">
        <x:v>不适用（综述）</x:v>
      </x:c>
      <x:c r="AN11" s="27" t="str">
        <x:v>不适用（综述）</x:v>
      </x:c>
      <x:c r="AO11" s="27" t="str">
        <x:v>不适用（综述）</x:v>
      </x:c>
      <x:c r="AP11" s="27" t="str">
        <x:v>不适用（综述）</x:v>
      </x:c>
      <x:c r="AQ11" s="27" t="str">
        <x:v>不适用（综述）</x:v>
      </x:c>
      <x:c r="AR11" s="27" t="str">
        <x:v>无统一实验指标</x:v>
      </x:c>
      <x:c r="AS11" s="27" t="str">
        <x:v>原始Markdown与N2/N4派生证据可用</x:v>
      </x:c>
      <x:c r="AT11" s="27" t="str">
        <x:v>文内结论与范围见N2引用与证据状态表</x:v>
      </x:c>
      <x:c r="AU11" s="27" t="str">
        <x:v>直接：摘要“碰撞问题和死锁问题”“启发式算法和强化学习算法”；综述，无统一实验协议</x:v>
      </x:c>
      <x:c r="AV11" s="27" t="str">
        <x:v>N5/N6深度抽取：B008 第2章、`3 结论与展望`；B008 第2章</x:v>
      </x:c>
      <x:c r="AW11" s="27" t="str">
        <x:v>跨论文性能不可直接比较</x:v>
      </x:c>
      <x:c r="AX11" s="27" t="str">
        <x:v>N5/N6字段已完成原文深度抽取</x:v>
      </x:c>
      <x:c r="AY11" s="27" t="str">
        <x:v>direct evidence</x:v>
      </x:c>
      <x:c r="AZ11" s="27" t="str">
        <x:v>direct</x:v>
      </x:c>
      <x:c r="BA11" s="27" t="str">
        <x:v>Deep extraction complete</x:v>
      </x:c>
      <x:c r="BB11" s="27" t="str">
        <x:v>OK</x:v>
      </x:c>
    </x:row>
    <x:row r="12" ht="52.79999923706055" hidden="0" customHeight="1">
      <x:c r="A12" s="27" t="str">
        <x:v>L009-E01</x:v>
      </x:c>
      <x:c r="B12" s="27" t="str">
        <x:v>L009</x:v>
      </x:c>
      <x:c r="C12" s="27" t="str">
        <x:v>B009 第2–3章及展望；B009 第2–3章</x:v>
      </x:c>
      <x:c r="D12" s="27" t="str">
        <x:v>Original-source verified</x:v>
      </x:c>
      <x:c r="E12" s="27" t="str">
        <x:v>跨场景（综述）；跨/跨</x:v>
      </x:c>
      <x:c r="F12" s="27" t="str">
        <x:v>other</x:v>
      </x:c>
      <x:c r="G12" s="27" t="str">
        <x:v>combination</x:v>
      </x:c>
      <x:c r="H12" s="27" t="str">
        <x:v>任务；AGV；路网</x:v>
      </x:c>
      <x:c r="I12" s="27" t="str">
        <x:v>车辆/任务分配；路径规划；冲突控制</x:v>
      </x:c>
      <x:c r="J12" s="27" t="str">
        <x:v>效率；鲁棒性；跨类型（综述）</x:v>
      </x:c>
      <x:c r="K12" s="27" t="str">
        <x:v>分布式通信与协商；路径冲突</x:v>
      </x:c>
      <x:c r="L12" s="27" t="str">
        <x:v>见原文；未显式报告者不补猜</x:v>
      </x:c>
      <x:c r="M12" s="27" t="str">
        <x:v>not reported</x:v>
      </x:c>
      <x:c r="N12" s="27" t="str">
        <x:v>not reported</x:v>
      </x:c>
      <x:c r="O12" s="27" t="str">
        <x:v>跨类型（综述）</x:v>
      </x:c>
      <x:c r="P12" s="27" t="str">
        <x:v>跨类型（综述）</x:v>
      </x:c>
      <x:c r="Q12" s="27" t="str">
        <x:v>跨/跨</x:v>
      </x:c>
      <x:c r="R12" s="27" t="str">
        <x:v>not reported</x:v>
      </x:c>
      <x:c r="S12" s="27" t="str">
        <x:v>任务；AGV；路网</x:v>
      </x:c>
      <x:c r="T12" s="27" t="str">
        <x:v>见动态处理/恢复决策字段</x:v>
      </x:c>
      <x:c r="U12" s="27" t="str">
        <x:v>unclear</x:v>
      </x:c>
      <x:c r="V12" s="27" t="str">
        <x:v>not reported</x:v>
      </x:c>
      <x:c r="W12" s="27" t="str">
        <x:v>robustness</x:v>
      </x:c>
      <x:c r="X12" s="27" t="str">
        <x:v>综述；原分类=跨类型（综述）；跨/跨</x:v>
      </x:c>
      <x:c r="Y12" s="27" t="str">
        <x:v>不适用（综述）</x:v>
      </x:c>
      <x:c r="Z12" s="27" t="str">
        <x:v>不适用（综述）</x:v>
      </x:c>
      <x:c r="AA12" s="27" t="str">
        <x:v>归纳集中/分布式任务分配、路径协商与冲突协调</x:v>
      </x:c>
      <x:c r="AB12" s="27" t="str">
        <x:v>不适用（综述）</x:v>
      </x:c>
      <x:c r="AC12" s="27" t="str">
        <x:v>任务分配→路径规划→通信/协商的综述链</x:v>
      </x:c>
      <x:c r="AD12" s="27" t="str">
        <x:v>任务分配→路径规划→通信/协商的综述链</x:v>
      </x:c>
      <x:c r="AE12" s="27" t="str">
        <x:v>不适用（综述）</x:v>
      </x:c>
      <x:c r="AF12" s="27" t="str">
        <x:v>不适用（综述）</x:v>
      </x:c>
      <x:c r="AG12" s="27" t="str">
        <x:v>不适用（综述）</x:v>
      </x:c>
      <x:c r="AH12" s="27" t="str">
        <x:v>不适用（综述）</x:v>
      </x:c>
      <x:c r="AI12" s="27" t="str">
        <x:v>不适用（综述）</x:v>
      </x:c>
      <x:c r="AJ12" s="27" t="str">
        <x:v>跨场景综述</x:v>
      </x:c>
      <x:c r="AK12" s="27" t="str">
        <x:v>综述</x:v>
      </x:c>
      <x:c r="AL12" s="27" t="str">
        <x:v>不适用（综述）</x:v>
      </x:c>
      <x:c r="AM12" s="27" t="str">
        <x:v>不适用（综述）</x:v>
      </x:c>
      <x:c r="AN12" s="27" t="str">
        <x:v>不适用（综述）</x:v>
      </x:c>
      <x:c r="AO12" s="27" t="str">
        <x:v>不适用（综述）</x:v>
      </x:c>
      <x:c r="AP12" s="27" t="str">
        <x:v>不适用（综述）</x:v>
      </x:c>
      <x:c r="AQ12" s="27" t="str">
        <x:v>不适用（综述）</x:v>
      </x:c>
      <x:c r="AR12" s="27" t="str">
        <x:v>无统一实验指标</x:v>
      </x:c>
      <x:c r="AS12" s="27" t="str">
        <x:v>原始Markdown与N2/N4派生证据可用</x:v>
      </x:c>
      <x:c r="AT12" s="27" t="str">
        <x:v>文内结论与范围见N2引用与证据状态表</x:v>
      </x:c>
      <x:c r="AU12" s="27" t="str">
        <x:v>直接：关键词；“集中式调度和分布式调度”；任务分配；路径规划；展望；综述，无统一实验协议</x:v>
      </x:c>
      <x:c r="AV12" s="27" t="str">
        <x:v>N5/N6深度抽取：B009 第2–3章及展望；B009 第2–3章</x:v>
      </x:c>
      <x:c r="AW12" s="27" t="str">
        <x:v>跨论文性能不可直接比较</x:v>
      </x:c>
      <x:c r="AX12" s="27" t="str">
        <x:v>N5/N6字段已完成原文深度抽取</x:v>
      </x:c>
      <x:c r="AY12" s="27" t="str">
        <x:v>direct evidence</x:v>
      </x:c>
      <x:c r="AZ12" s="27" t="str">
        <x:v>direct</x:v>
      </x:c>
      <x:c r="BA12" s="27" t="str">
        <x:v>Deep extraction complete</x:v>
      </x:c>
      <x:c r="BB12" s="27" t="str">
        <x:v>OK</x:v>
      </x:c>
    </x:row>
    <x:row r="13" ht="66" hidden="0" customHeight="1">
      <x:c r="A13" s="27" t="str">
        <x:v>L010-E01</x:v>
      </x:c>
      <x:c r="B13" s="27" t="str">
        <x:v>L010</x:v>
      </x:c>
      <x:c r="C13" s="27" t="str">
        <x:v>B010 强化学习环境、`2.5 训练及参数调优`；B010 `2.5`、`3 数值实验`</x:v>
      </x:c>
      <x:c r="D13" s="27" t="str">
        <x:v>Verified</x:v>
      </x:c>
      <x:c r="E13" s="27" t="str">
        <x:v>生产车间；静/确</x:v>
      </x:c>
      <x:c r="F13" s="27" t="str">
        <x:v>workshop</x:v>
      </x:c>
      <x:c r="G13" s="27" t="str">
        <x:v>combination</x:v>
      </x:c>
      <x:c r="H13" s="27" t="str">
        <x:v>工件；机器；AGV</x:v>
      </x:c>
      <x:c r="I13" s="27" t="str">
        <x:v>工序排序；机器分配；车辆/任务分配</x:v>
      </x:c>
      <x:c r="J13" s="27" t="str">
        <x:v>效率；多目标组合</x:v>
      </x:c>
      <x:c r="K13" s="27" t="str">
        <x:v>工序优先；机器可选/占用；运输资源</x:v>
      </x:c>
      <x:c r="L13" s="27" t="str">
        <x:v>见原文；未显式报告者不补猜</x:v>
      </x:c>
      <x:c r="M13" s="27" t="str">
        <x:v>static deterministic</x:v>
      </x:c>
      <x:c r="N13" s="27" t="str">
        <x:v>offline</x:v>
      </x:c>
      <x:c r="O13" s="27" t="str">
        <x:v>无事件</x:v>
      </x:c>
      <x:c r="P13" s="27" t="str">
        <x:v>无事件</x:v>
      </x:c>
      <x:c r="Q13" s="27" t="str">
        <x:v>静/确</x:v>
      </x:c>
      <x:c r="R13" s="27" t="str">
        <x:v>not reported</x:v>
      </x:c>
      <x:c r="S13" s="27" t="str">
        <x:v>工件；机器；AGV</x:v>
      </x:c>
      <x:c r="T13" s="27" t="str">
        <x:v>见动态处理/恢复决策字段</x:v>
      </x:c>
      <x:c r="U13" s="27" t="str">
        <x:v>joint</x:v>
      </x:c>
      <x:c r="V13" s="27" t="str">
        <x:v>learning-based</x:v>
      </x:c>
      <x:c r="W13" s="27" t="str">
        <x:v>multi-objective combination</x:v>
      </x:c>
      <x:c r="X13" s="27" t="str">
        <x:v>核心车间原始研究；原分类=学习型；静/确</x:v>
      </x:c>
      <x:c r="Y13" s="27" t="str">
        <x:v>工件、机器、AGV局部状态；多智能体联合动作</x:v>
      </x:c>
      <x:c r="Z13" s="27" t="str">
        <x:v>规则动作执行后推进加工/运输环境并形成分步与终局奖励</x:v>
      </x:c>
      <x:c r="AA13" s="27" t="str">
        <x:v>可行规则限定动作，不另报染色体修复</x:v>
      </x:c>
      <x:c r="AB13" s="27" t="str">
        <x:v>完成调度回合；训练停止按原文参数</x:v>
      </x:c>
      <x:c r="AC13" s="27" t="str">
        <x:v>DMA-DDQN：智能体观测→联合选规则→环境更新→经验回放/目标网络更新；奖励成形嵌入训练</x:v>
      </x:c>
      <x:c r="AD13" s="27" t="str">
        <x:v>DMA-DDQN：智能体观测→联合选规则→环境更新→经验回放/目标网络更新；奖励成形嵌入训练</x:v>
      </x:c>
      <x:c r="AE13" s="27" t="str">
        <x:v>不同规模FJSP联合调度算例</x:v>
      </x:c>
      <x:c r="AF13" s="27" t="str">
        <x:v>见数值实验</x:v>
      </x:c>
      <x:c r="AG13" s="27" t="str">
        <x:v>见数值实验</x:v>
      </x:c>
      <x:c r="AH13" s="27" t="str">
        <x:v>见数值实验</x:v>
      </x:c>
      <x:c r="AI13" s="27" t="str">
        <x:v>见数值实验</x:v>
      </x:c>
      <x:c r="AJ13" s="27" t="str">
        <x:v>车间联合调度环境</x:v>
      </x:c>
      <x:c r="AK13" s="27" t="str">
        <x:v>多规模</x:v>
      </x:c>
      <x:c r="AL13" s="27" t="str">
        <x:v>调度规则、GA、DQN及DMA-DDQN消融/变体</x:v>
      </x:c>
      <x:c r="AM13" s="27" t="str">
        <x:v>训练及调参见§2.5；完整统一预算未报告</x:v>
      </x:c>
      <x:c r="AN13" s="27" t="str">
        <x:v>训练及调参见§2.5；完整统一预算未报告</x:v>
      </x:c>
      <x:c r="AO13" s="27" t="str">
        <x:v>未报告</x:v>
      </x:c>
      <x:c r="AP13" s="27" t="str">
        <x:v>未报告</x:v>
      </x:c>
      <x:c r="AQ13" s="27" t="str">
        <x:v>未报告</x:v>
      </x:c>
      <x:c r="AR13" s="27" t="str">
        <x:v>makespan及文内多目标/奖励表现</x:v>
      </x:c>
      <x:c r="AS13" s="27" t="str">
        <x:v>原始Markdown与N2/N4派生证据可用</x:v>
      </x:c>
      <x:c r="AT13" s="27" t="str">
        <x:v>文内结论与范围见N2引用与证据状态表</x:v>
      </x:c>
      <x:c r="AU13" s="27" t="str">
        <x:v>直接：摘要；`DMA-DDQN`；多智能体；联合调度；奖励成形；不同规模与规则/GA/DQN对比；重复和统计待N6抽取</x:v>
      </x:c>
      <x:c r="AV13" s="27" t="str">
        <x:v>N5/N6深度抽取：B010 强化学习环境、`2.5 训练及参数调优`；B010 `2.5`、`3 数值实验`</x:v>
      </x:c>
      <x:c r="AW13" s="27" t="str">
        <x:v>跨论文性能不可直接比较</x:v>
      </x:c>
      <x:c r="AX13" s="27" t="str">
        <x:v>深度抽取完成；原文未报告项已显式保留，不得补猜</x:v>
      </x:c>
      <x:c r="AY13" s="27" t="str">
        <x:v>direct evidence</x:v>
      </x:c>
      <x:c r="AZ13" s="27" t="str">
        <x:v>direct</x:v>
      </x:c>
      <x:c r="BA13" s="27" t="str">
        <x:v>Deep extraction complete</x:v>
      </x:c>
      <x:c r="BB13" s="27" t="str">
        <x:v>OK</x:v>
      </x:c>
    </x:row>
    <x:row r="14" ht="52.79999923706055" hidden="0" customHeight="1">
      <x:c r="A14" s="27" t="str">
        <x:v>L011-E01</x:v>
      </x:c>
      <x:c r="B14" s="27" t="str">
        <x:v>L011</x:v>
      </x:c>
      <x:c r="C14" s="27" t="str">
        <x:v>B011 `2.3`–`2.5`、图7；B011 表2–3、`4.1`–`4.2`</x:v>
      </x:c>
      <x:c r="D14" s="27" t="str">
        <x:v>Original-source verified</x:v>
      </x:c>
      <x:c r="E14" s="27" t="str">
        <x:v>生产车间；静/确</x:v>
      </x:c>
      <x:c r="F14" s="27" t="str">
        <x:v>workshop</x:v>
      </x:c>
      <x:c r="G14" s="27" t="str">
        <x:v>combination</x:v>
      </x:c>
      <x:c r="H14" s="27" t="str">
        <x:v>工件；机器；AGV</x:v>
      </x:c>
      <x:c r="I14" s="27" t="str">
        <x:v>工序排序；机器分配；车辆/任务分配；运输排序</x:v>
      </x:c>
      <x:c r="J14" s="27" t="str">
        <x:v>效率；稳定性</x:v>
      </x:c>
      <x:c r="K14" s="27" t="str">
        <x:v>工序优先；机器/车辆占用；运输时间</x:v>
      </x:c>
      <x:c r="L14" s="27" t="str">
        <x:v>见原文；未显式报告者不补猜</x:v>
      </x:c>
      <x:c r="M14" s="27" t="str">
        <x:v>static deterministic</x:v>
      </x:c>
      <x:c r="N14" s="27" t="str">
        <x:v>offline</x:v>
      </x:c>
      <x:c r="O14" s="27" t="str">
        <x:v>无事件</x:v>
      </x:c>
      <x:c r="P14" s="27" t="str">
        <x:v>无事件</x:v>
      </x:c>
      <x:c r="Q14" s="27" t="str">
        <x:v>静/确</x:v>
      </x:c>
      <x:c r="R14" s="27" t="str">
        <x:v>not reported</x:v>
      </x:c>
      <x:c r="S14" s="27" t="str">
        <x:v>工件；机器；AGV</x:v>
      </x:c>
      <x:c r="T14" s="27" t="str">
        <x:v>见动态处理/恢复决策字段</x:v>
      </x:c>
      <x:c r="U14" s="27" t="str">
        <x:v>joint</x:v>
      </x:c>
      <x:c r="V14" s="27" t="str">
        <x:v>metaheuristic</x:v>
      </x:c>
      <x:c r="W14" s="27" t="str">
        <x:v>robustness</x:v>
      </x:c>
      <x:c r="X14" s="27" t="str">
        <x:v>核心车间原始研究；原分类=元启发式；静/确</x:v>
      </x:c>
      <x:c r="Y14" s="27" t="str">
        <x:v>基于工序的整数序列</x:v>
      </x:c>
      <x:c r="Z14" s="27" t="str">
        <x:v>依次确定工序机器、加工时段与 AGV配送时段</x:v>
      </x:c>
      <x:c r="AA14" s="27" t="str">
        <x:v>连续 FPA 新解按旧序列键值排序修复为合法工序序列</x:v>
      </x:c>
      <x:c r="AB14" s="27" t="str">
        <x:v>150 代</x:v>
      </x:c>
      <x:c r="AC14" s="27" t="str">
        <x:v>改进初始化→FPA全局/局部授粉→PCA启发式变异→SA概率接受；GA交叉嵌入FPA</x:v>
      </x:c>
      <x:c r="AD14" s="27" t="str">
        <x:v>改进初始化→FPA全局/局部授粉→PCA启发式变异→SA概率接受；GA交叉嵌入FPA</x:v>
      </x:c>
      <x:c r="AE14" s="27" t="str">
        <x:v>FT06、FT10、LA01–LA08；单/多AGV原型实验</x:v>
      </x:c>
      <x:c r="AF14" s="27" t="str">
        <x:v>FT06/FT10/LA01–08及原型任务</x:v>
      </x:c>
      <x:c r="AG14" s="27" t="str">
        <x:v>随标准JSP实例</x:v>
      </x:c>
      <x:c r="AH14" s="27" t="str">
        <x:v>随标准JSP实例</x:v>
      </x:c>
      <x:c r="AI14" s="27" t="str">
        <x:v>单/多AGV原型</x:v>
      </x:c>
      <x:c r="AJ14" s="27" t="str">
        <x:v>实验原型布局</x:v>
      </x:c>
      <x:c r="AK14" s="27" t="str">
        <x:v>标准实例+原型</x:v>
      </x:c>
      <x:c r="AL14" s="27" t="str">
        <x:v>FPA、GA及集成调度对照</x:v>
      </x:c>
      <x:c r="AM14" s="27" t="str">
        <x:v>pop=60，150代；T0=800、q=.92等</x:v>
      </x:c>
      <x:c r="AN14" s="27" t="str">
        <x:v>pop=60，150代；T0=800、q=.92等</x:v>
      </x:c>
      <x:c r="AO14" s="27" t="str">
        <x:v>30</x:v>
      </x:c>
      <x:c r="AP14" s="27" t="str">
        <x:v>未报告</x:v>
      </x:c>
      <x:c r="AQ14" s="27" t="str">
        <x:v>未报告</x:v>
      </x:c>
      <x:c r="AR14" s="27" t="str">
        <x:v>min、max、mean、makespan、AGV利用率</x:v>
      </x:c>
      <x:c r="AS14" s="27" t="str">
        <x:v>原始Markdown与N2/N4派生证据可用</x:v>
      </x:c>
      <x:c r="AT14" s="27" t="str">
        <x:v>文内结论与范围见N2引用与证据状态表</x:v>
      </x:c>
      <x:c r="AU14" s="27" t="str">
        <x:v>直接：题名/关键词；数学模型；编码；FT06/FT10；Conclusion；FT06、FT10与平台实验；精度/稳定性文内比较</x:v>
      </x:c>
      <x:c r="AV14" s="27" t="str">
        <x:v>N5/N6深度抽取：B011 `2.3`–`2.5`、图7；B011 表2–3、`4.1`–`4.2`</x:v>
      </x:c>
      <x:c r="AW14" s="27" t="str">
        <x:v>跨论文性能不可直接比较</x:v>
      </x:c>
      <x:c r="AX14" s="27" t="str">
        <x:v>深度抽取完成；原文未报告项已显式保留，不得补猜</x:v>
      </x:c>
      <x:c r="AY14" s="27" t="str">
        <x:v>direct evidence</x:v>
      </x:c>
      <x:c r="AZ14" s="27" t="str">
        <x:v>direct</x:v>
      </x:c>
      <x:c r="BA14" s="27" t="str">
        <x:v>Deep extraction complete</x:v>
      </x:c>
      <x:c r="BB14" s="27" t="str">
        <x:v>OK</x:v>
      </x:c>
    </x:row>
    <x:row r="15" ht="66" hidden="0" customHeight="1">
      <x:c r="A15" s="27" t="str">
        <x:v>L012-E01</x:v>
      </x:c>
      <x:c r="B15" s="27" t="str">
        <x:v>L012</x:v>
      </x:c>
      <x:c r="C15" s="27" t="str">
        <x:v>B012 `2 改进PPO算法`、`2.4 算法流程`；B012 第4章</x:v>
      </x:c>
      <x:c r="D15" s="27" t="str">
        <x:v>Verified</x:v>
      </x:c>
      <x:c r="E15" s="27" t="str">
        <x:v>通用运输（具体行业未报告）；静/确</x:v>
      </x:c>
      <x:c r="F15" s="27" t="str">
        <x:v>transport</x:v>
      </x:c>
      <x:c r="G15" s="27" t="str">
        <x:v>combination</x:v>
      </x:c>
      <x:c r="H15" s="27" t="str">
        <x:v>任务；AGV；路网</x:v>
      </x:c>
      <x:c r="I15" s="27" t="str">
        <x:v>车辆/任务分配；路径规划</x:v>
      </x:c>
      <x:c r="J15" s="27" t="str">
        <x:v>效率；计算成本</x:v>
      </x:c>
      <x:c r="K15" s="27" t="str">
        <x:v>路径可行；多任务；动作步长</x:v>
      </x:c>
      <x:c r="L15" s="27" t="str">
        <x:v>见原文；未显式报告者不补猜</x:v>
      </x:c>
      <x:c r="M15" s="27" t="str">
        <x:v>static deterministic</x:v>
      </x:c>
      <x:c r="N15" s="27" t="str">
        <x:v>offline</x:v>
      </x:c>
      <x:c r="O15" s="27" t="str">
        <x:v>路径绕行/冲突风险</x:v>
      </x:c>
      <x:c r="P15" s="27" t="str">
        <x:v>路径绕行/冲突风险</x:v>
      </x:c>
      <x:c r="Q15" s="27" t="str">
        <x:v>静/确</x:v>
      </x:c>
      <x:c r="R15" s="27" t="str">
        <x:v>not reported</x:v>
      </x:c>
      <x:c r="S15" s="27" t="str">
        <x:v>任务；AGV；路网</x:v>
      </x:c>
      <x:c r="T15" s="27" t="str">
        <x:v>见动态处理/恢复决策字段</x:v>
      </x:c>
      <x:c r="U15" s="27" t="str">
        <x:v>hierarchical</x:v>
      </x:c>
      <x:c r="V15" s="27" t="str">
        <x:v>learning-based</x:v>
      </x:c>
      <x:c r="W15" s="27" t="str">
        <x:v>computational cost</x:v>
      </x:c>
      <x:c r="X15" s="27" t="str">
        <x:v>路径/任务相邻研究；原分类=学习型；静/确</x:v>
      </x:c>
      <x:c r="Y15" s="27" t="str">
        <x:v>栅格状态、位置/目标/障碍及多步长离散动作</x:v>
      </x:c>
      <x:c r="Z15" s="27" t="str">
        <x:v>PPO 动作推进 AGV 并返回距离/碰撞奖励</x:v>
      </x:c>
      <x:c r="AA15" s="27" t="str">
        <x:v>越界和碰撞惩罚；动态奖励抑制无效动作</x:v>
      </x:c>
      <x:c r="AB15" s="27" t="str">
        <x:v>达到目标或回合上限；训练轮次见实验</x:v>
      </x:c>
      <x:c r="AC15" s="27" t="str">
        <x:v>PPO采样→优势估计→裁剪目标更新；多步长动作与动态奖励嵌入动作/奖励层</x:v>
      </x:c>
      <x:c r="AD15" s="27" t="str">
        <x:v>PPO采样→优势估计→裁剪目标更新；多步长动作与动态奖励嵌入动作/奖励层</x:v>
      </x:c>
      <x:c r="AE15" s="27" t="str">
        <x:v>单AGV路径与多任务调度仿真地图</x:v>
      </x:c>
      <x:c r="AF15" s="27" t="str">
        <x:v>单车路径与多任务</x:v>
      </x:c>
      <x:c r="AG15" s="27" t="str">
        <x:v>不适用</x:v>
      </x:c>
      <x:c r="AH15" s="27" t="str">
        <x:v>不适用</x:v>
      </x:c>
      <x:c r="AI15" s="27" t="str">
        <x:v>单AGV</x:v>
      </x:c>
      <x:c r="AJ15" s="27" t="str">
        <x:v>栅格地图</x:v>
      </x:c>
      <x:c r="AK15" s="27" t="str">
        <x:v>单车/多任务</x:v>
      </x:c>
      <x:c r="AL15" s="27" t="str">
        <x:v>PPO及传统路径/任务方法</x:v>
      </x:c>
      <x:c r="AM15" s="27" t="str">
        <x:v>超参数见原文；达到目标或回合上限</x:v>
      </x:c>
      <x:c r="AN15" s="27" t="str">
        <x:v>超参数见原文；达到目标或回合上限</x:v>
      </x:c>
      <x:c r="AO15" s="27" t="str">
        <x:v>未报告</x:v>
      </x:c>
      <x:c r="AP15" s="27" t="str">
        <x:v>未报告</x:v>
      </x:c>
      <x:c r="AQ15" s="27" t="str">
        <x:v>未报告</x:v>
      </x:c>
      <x:c r="AR15" s="27" t="str">
        <x:v>路径长度、训练收敛、任务总距离/效率</x:v>
      </x:c>
      <x:c r="AS15" s="27" t="str">
        <x:v>原始Markdown与N2/N4派生证据可用</x:v>
      </x:c>
      <x:c r="AT15" s="27" t="str">
        <x:v>文内结论与范围见N2引用与证据状态表</x:v>
      </x:c>
      <x:c r="AU15" s="27" t="str">
        <x:v>直接：摘要；“多步长动作”“动态奖励”；单车路径与多任务实验；随机性未见报告；单车路径与多任务实验；距离和收敛效率</x:v>
      </x:c>
      <x:c r="AV15" s="27" t="str">
        <x:v>N5/N6深度抽取：B012 `2 改进PPO算法`、`2.4 算法流程`；B012 第4章</x:v>
      </x:c>
      <x:c r="AW15" s="27" t="str">
        <x:v>跨论文性能不可直接比较</x:v>
      </x:c>
      <x:c r="AX15" s="27" t="str">
        <x:v>深度抽取完成；原文未报告项已显式保留，不得补猜</x:v>
      </x:c>
      <x:c r="AY15" s="27" t="str">
        <x:v>direct evidence</x:v>
      </x:c>
      <x:c r="AZ15" s="27" t="str">
        <x:v>direct</x:v>
      </x:c>
      <x:c r="BA15" s="27" t="str">
        <x:v>Deep extraction complete</x:v>
      </x:c>
      <x:c r="BB15" s="27" t="str">
        <x:v>OK</x:v>
      </x:c>
    </x:row>
    <x:row r="16" ht="52.79999923706055" hidden="0" customHeight="1">
      <x:c r="A16" s="27" t="str">
        <x:v>L013-E01</x:v>
      </x:c>
      <x:c r="B16" s="27" t="str">
        <x:v>L013</x:v>
      </x:c>
      <x:c r="C16" s="27" t="str">
        <x:v>B013 `2.2.5 算法步骤`、式(34)、`3.1`；B013 `3.1`–`3.3`</x:v>
      </x:c>
      <x:c r="D16" s="27" t="str">
        <x:v>Original-source verified</x:v>
      </x:c>
      <x:c r="E16" s="27" t="str">
        <x:v>自动化码头；静/确</x:v>
      </x:c>
      <x:c r="F16" s="27" t="str">
        <x:v>terminal</x:v>
      </x:c>
      <x:c r="G16" s="27" t="str">
        <x:v>combination</x:v>
      </x:c>
      <x:c r="H16" s="27" t="str">
        <x:v>集装箱任务；AGV；路网</x:v>
      </x:c>
      <x:c r="I16" s="27" t="str">
        <x:v>路径规划；冲突控制</x:v>
      </x:c>
      <x:c r="J16" s="27" t="str">
        <x:v>效率；稳定性；安全</x:v>
      </x:c>
      <x:c r="K16" s="27" t="str">
        <x:v>双向引导车道；路径互斥；无碰撞</x:v>
      </x:c>
      <x:c r="L16" s="27" t="str">
        <x:v>见原文；未显式报告者不补猜</x:v>
      </x:c>
      <x:c r="M16" s="27" t="str">
        <x:v>static deterministic</x:v>
      </x:c>
      <x:c r="N16" s="27" t="str">
        <x:v>offline</x:v>
      </x:c>
      <x:c r="O16" s="27" t="str">
        <x:v>碰撞风险</x:v>
      </x:c>
      <x:c r="P16" s="27" t="str">
        <x:v>碰撞风险</x:v>
      </x:c>
      <x:c r="Q16" s="27" t="str">
        <x:v>静/确</x:v>
      </x:c>
      <x:c r="R16" s="27" t="str">
        <x:v>not reported</x:v>
      </x:c>
      <x:c r="S16" s="27" t="str">
        <x:v>集装箱任务；AGV；路网</x:v>
      </x:c>
      <x:c r="T16" s="27" t="str">
        <x:v>见动态处理/恢复决策字段</x:v>
      </x:c>
      <x:c r="U16" s="27" t="str">
        <x:v>unclear</x:v>
      </x:c>
      <x:c r="V16" s="27" t="str">
        <x:v>learning-based</x:v>
      </x:c>
      <x:c r="W16" s="27" t="str">
        <x:v>safety</x:v>
      </x:c>
      <x:c r="X16" s="27" t="str">
        <x:v>路径/任务相邻研究；原分类=学习型；静/确</x:v>
      </x:c>
      <x:c r="Y16" s="27" t="str">
        <x:v>码头栅格、各AGV位置/目标及联合路径状态</x:v>
      </x:c>
      <x:c r="Z16" s="27" t="str">
        <x:v>PPO逐步选择下一节点</x:v>
      </x:c>
      <x:c r="AA16" s="27" t="str">
        <x:v>节点/相向冲突、越界强惩罚；防绕远奖励项</x:v>
      </x:c>
      <x:c r="AB16" s="27" t="str">
        <x:v>到达目标/非法终止；训练300轮</x:v>
      </x:c>
      <x:c r="AC16" s="27" t="str">
        <x:v>PPO采样更新；防绕远机制嵌入奖励函数</x:v>
      </x:c>
      <x:c r="AD16" s="27" t="str">
        <x:v>PPO采样更新；防绕远机制嵌入奖励函数</x:v>
      </x:c>
      <x:c r="AE16" s="27" t="str">
        <x:v>11×11、21×21、31×31双向路网；AGV数3–30</x:v>
      </x:c>
      <x:c r="AF16" s="27" t="str">
        <x:v>码头运输任务</x:v>
      </x:c>
      <x:c r="AG16" s="27" t="str">
        <x:v>不适用</x:v>
      </x:c>
      <x:c r="AH16" s="27" t="str">
        <x:v>岸桥/堆场节点</x:v>
      </x:c>
      <x:c r="AI16" s="27" t="str">
        <x:v>3/5/10；5/10/15；20/25/30</x:v>
      </x:c>
      <x:c r="AJ16" s="27" t="str">
        <x:v>11×11、21×21、31×31双向车道</x:v>
      </x:c>
      <x:c r="AK16" s="27" t="str">
        <x:v>小/中/大</x:v>
      </x:c>
      <x:c r="AL16" s="27" t="str">
        <x:v>标准PPO/去防绕远机制及参数对照</x:v>
      </x:c>
      <x:c r="AM16" s="27" t="str">
        <x:v>训练300轮</x:v>
      </x:c>
      <x:c r="AN16" s="27" t="str">
        <x:v>训练300轮</x:v>
      </x:c>
      <x:c r="AO16" s="27" t="str">
        <x:v>未报告</x:v>
      </x:c>
      <x:c r="AP16" s="27" t="str">
        <x:v>未报告</x:v>
      </x:c>
      <x:c r="AQ16" s="27" t="str">
        <x:v>报告参数差异p值；检验名称以原文为准</x:v>
      </x:c>
      <x:c r="AR16" s="27" t="str">
        <x:v>累积奖励、步数、路径长度、冲突/成功</x:v>
      </x:c>
      <x:c r="AS16" s="27" t="str">
        <x:v>原始Markdown与N2/N4派生证据可用</x:v>
      </x:c>
      <x:c r="AT16" s="27" t="str">
        <x:v>文内结论与范围见N2引用与证据状态表</x:v>
      </x:c>
      <x:c r="AU16" s="27" t="str">
        <x:v>直接：摘要“网格地图”“防冲突路径规划”“最大完工时间”；码头网格与规模实验；求解速度和路径指标</x:v>
      </x:c>
      <x:c r="AV16" s="27" t="str">
        <x:v>N5/N6深度抽取：B013 `2.2.5 算法步骤`、式(34)、`3.1`；B013 `3.1`–`3.3`</x:v>
      </x:c>
      <x:c r="AW16" s="27" t="str">
        <x:v>跨论文性能不可直接比较</x:v>
      </x:c>
      <x:c r="AX16" s="27" t="str">
        <x:v>深度抽取完成；原文未报告项已显式保留，不得补猜</x:v>
      </x:c>
      <x:c r="AY16" s="27" t="str">
        <x:v>direct evidence</x:v>
      </x:c>
      <x:c r="AZ16" s="27" t="str">
        <x:v>direct</x:v>
      </x:c>
      <x:c r="BA16" s="27" t="str">
        <x:v>Deep extraction complete</x:v>
      </x:c>
      <x:c r="BB16" s="27" t="str">
        <x:v>OK</x:v>
      </x:c>
    </x:row>
    <x:row r="17" ht="66" hidden="0" customHeight="1">
      <x:c r="A17" s="27" t="str">
        <x:v>L014-E01</x:v>
      </x:c>
      <x:c r="B17" s="27" t="str">
        <x:v>L014</x:v>
      </x:c>
      <x:c r="C17" s="27" t="str">
        <x:v>B014 系统架构、`2.3 LSTM-PPO`、奖惩机制；B014 `4.2`、第5章</x:v>
      </x:c>
      <x:c r="D17" s="27" t="str">
        <x:v>Original-source verified</x:v>
      </x:c>
      <x:c r="E17" s="27" t="str">
        <x:v>人机共融（智能工厂）；动/不清楚</x:v>
      </x:c>
      <x:c r="F17" s="27" t="str">
        <x:v>other</x:v>
      </x:c>
      <x:c r="G17" s="27" t="str">
        <x:v>combination</x:v>
      </x:c>
      <x:c r="H17" s="27" t="str">
        <x:v>AGV；行人；视觉环境</x:v>
      </x:c>
      <x:c r="I17" s="27" t="str">
        <x:v>冲突控制；速度决策</x:v>
      </x:c>
      <x:c r="J17" s="27" t="str">
        <x:v>安全；效率</x:v>
      </x:c>
      <x:c r="K17" s="27" t="str">
        <x:v>人身安全距离；无碰撞；无地图视觉输入</x:v>
      </x:c>
      <x:c r="L17" s="27" t="str">
        <x:v>见原文；未显式报告者不补猜</x:v>
      </x:c>
      <x:c r="M17" s="27" t="str">
        <x:v>other</x:v>
      </x:c>
      <x:c r="N17" s="27" t="str">
        <x:v>online</x:v>
      </x:c>
      <x:c r="O17" s="27" t="str">
        <x:v>动态障碍/行人；碰撞风险</x:v>
      </x:c>
      <x:c r="P17" s="27" t="str">
        <x:v>动态障碍/行人；碰撞风险</x:v>
      </x:c>
      <x:c r="Q17" s="27" t="str">
        <x:v>动/不清楚</x:v>
      </x:c>
      <x:c r="R17" s="27" t="str">
        <x:v>not reported</x:v>
      </x:c>
      <x:c r="S17" s="27" t="str">
        <x:v>AGV；行人；视觉环境</x:v>
      </x:c>
      <x:c r="T17" s="27" t="str">
        <x:v>见动态处理/恢复决策字段</x:v>
      </x:c>
      <x:c r="U17" s="27" t="str">
        <x:v>unclear</x:v>
      </x:c>
      <x:c r="V17" s="27" t="str">
        <x:v>learning-based</x:v>
      </x:c>
      <x:c r="W17" s="27" t="str">
        <x:v>safety</x:v>
      </x:c>
      <x:c r="X17" s="27" t="str">
        <x:v>路径/任务相邻研究；原分类=学习型；动/不清楚</x:v>
      </x:c>
      <x:c r="Y17" s="27" t="str">
        <x:v>RGB/深度图、AGV位姿、目标与YOLOv8行人状态</x:v>
      </x:c>
      <x:c r="Z17" s="27" t="str">
        <x:v>LSTM-PPO输出连续运动动作，Isaac Sim推进</x:v>
      </x:c>
      <x:c r="AA17" s="27" t="str">
        <x:v>碰撞/越界终止；个人空间分层惩罚</x:v>
      </x:c>
      <x:c r="AB17" s="27" t="str">
        <x:v>到达目标、碰撞/越界或回合上限</x:v>
      </x:c>
      <x:c r="AC17" s="27" t="str">
        <x:v>YOLOv8特征→CNN/LSTM策略与价值网络→PPO更新；先无行人预训练再正式训练</x:v>
      </x:c>
      <x:c r="AD17" s="27" t="str">
        <x:v>YOLOv8特征→CNN/LSTM策略与价值网络→PPO更新；先无行人预训练再正式训练</x:v>
      </x:c>
      <x:c r="AE17" s="27" t="str">
        <x:v>Isaac Sim虚拟工厂；单AGV–行人；30轮测试</x:v>
      </x:c>
      <x:c r="AF17" s="27" t="str">
        <x:v>单AGV行人避让任务</x:v>
      </x:c>
      <x:c r="AG17" s="27" t="str">
        <x:v>不适用</x:v>
      </x:c>
      <x:c r="AH17" s="27" t="str">
        <x:v>不适用</x:v>
      </x:c>
      <x:c r="AI17" s="27" t="str">
        <x:v>1</x:v>
      </x:c>
      <x:c r="AJ17" s="27" t="str">
        <x:v>Isaac Sim虚拟工厂</x:v>
      </x:c>
      <x:c r="AK17" s="27" t="str">
        <x:v>单AGV案例</x:v>
      </x:c>
      <x:c r="AL17" s="27" t="str">
        <x:v>PPO（无LSTM）</x:v>
      </x:c>
      <x:c r="AM17" s="27" t="str">
        <x:v>预训练6×10^5步；正式训练约2.3×10^5步收敛</x:v>
      </x:c>
      <x:c r="AN17" s="27" t="str">
        <x:v>预训练6×10^5步；正式训练约2.3×10^5步收敛</x:v>
      </x:c>
      <x:c r="AO17" s="27" t="str">
        <x:v>30</x:v>
      </x:c>
      <x:c r="AP17" s="27" t="str">
        <x:v>未报告</x:v>
      </x:c>
      <x:c r="AQ17" s="27" t="str">
        <x:v>未报告</x:v>
      </x:c>
      <x:c r="AR17" s="27" t="str">
        <x:v>平均回合奖励、避障成功率、舒适成功率、最小距离</x:v>
      </x:c>
      <x:c r="AS17" s="27" t="str">
        <x:v>原始Markdown与N2/N4派生证据可用</x:v>
      </x:c>
      <x:c r="AT17" s="27" t="str">
        <x:v>文内结论与范围见N2引用与证据状态表</x:v>
      </x:c>
      <x:c r="AU17" s="27" t="str">
        <x:v>直接：摘要；YOLOv8；PPO-LSTM；“个人空间”；限制：行人运动随机模型当前不清楚；仿真实验；安全距离与效率指标</x:v>
      </x:c>
      <x:c r="AV17" s="27" t="str">
        <x:v>N5/N6深度抽取：B014 系统架构、`2.3 LSTM-PPO`、奖惩机制；B014 `4.2`、第5章</x:v>
      </x:c>
      <x:c r="AW17" s="27" t="str">
        <x:v>随机性/事件生成机制不完整</x:v>
      </x:c>
      <x:c r="AX17" s="27" t="str">
        <x:v>深度抽取完成；原文未报告项已显式保留，不得补猜</x:v>
      </x:c>
      <x:c r="AY17" s="27" t="str">
        <x:v>direct evidence</x:v>
      </x:c>
      <x:c r="AZ17" s="27" t="str">
        <x:v>direct</x:v>
      </x:c>
      <x:c r="BA17" s="27" t="str">
        <x:v>Deep extraction complete</x:v>
      </x:c>
      <x:c r="BB17" s="27" t="str">
        <x:v>OK</x:v>
      </x:c>
    </x:row>
    <x:row r="18" ht="52.79999923706055" hidden="0" customHeight="1">
      <x:c r="A18" s="27" t="str">
        <x:v>L015-E01</x:v>
      </x:c>
      <x:c r="B18" s="27" t="str">
        <x:v>L015</x:v>
      </x:c>
      <x:c r="C18" s="27" t="str">
        <x:v>B015 `2.2 调度流程`、`2.3 学习过程`；B015 案例段与图6</x:v>
      </x:c>
      <x:c r="D18" s="27" t="str">
        <x:v>Original-source verified</x:v>
      </x:c>
      <x:c r="E18" s="27" t="str">
        <x:v>生产车间（离散制造）；静/确</x:v>
      </x:c>
      <x:c r="F18" s="27" t="str">
        <x:v>workshop</x:v>
      </x:c>
      <x:c r="G18" s="27" t="str">
        <x:v>combination</x:v>
      </x:c>
      <x:c r="H18" s="27" t="str">
        <x:v>工件；机器；AGV</x:v>
      </x:c>
      <x:c r="I18" s="27" t="str">
        <x:v>工序排序；机器分配；车辆/任务分配</x:v>
      </x:c>
      <x:c r="J18" s="27" t="str">
        <x:v>效率；负载均衡；多目标组合</x:v>
      </x:c>
      <x:c r="K18" s="27" t="str">
        <x:v>工序优先；机器布局；运输时间；车辆位置；规定到达时点</x:v>
      </x:c>
      <x:c r="L18" s="27" t="str">
        <x:v>见原文；未显式报告者不补猜</x:v>
      </x:c>
      <x:c r="M18" s="27" t="str">
        <x:v>static deterministic</x:v>
      </x:c>
      <x:c r="N18" s="27" t="str">
        <x:v>offline</x:v>
      </x:c>
      <x:c r="O18" s="27" t="str">
        <x:v>无事件</x:v>
      </x:c>
      <x:c r="P18" s="27" t="str">
        <x:v>无事件</x:v>
      </x:c>
      <x:c r="Q18" s="27" t="str">
        <x:v>静/确</x:v>
      </x:c>
      <x:c r="R18" s="27" t="str">
        <x:v>not reported</x:v>
      </x:c>
      <x:c r="S18" s="27" t="str">
        <x:v>工件；机器；AGV</x:v>
      </x:c>
      <x:c r="T18" s="27" t="str">
        <x:v>见动态处理/恢复决策字段</x:v>
      </x:c>
      <x:c r="U18" s="27" t="str">
        <x:v>hierarchical</x:v>
      </x:c>
      <x:c r="V18" s="27" t="str">
        <x:v>learning-based</x:v>
      </x:c>
      <x:c r="W18" s="27" t="str">
        <x:v>multi-objective combination</x:v>
      </x:c>
      <x:c r="X18" s="27" t="str">
        <x:v>核心车间原始研究；原分类=学习型；静/确</x:v>
      </x:c>
      <x:c r="Y18" s="27" t="str">
        <x:v>工件/机器/小车状态；两个智能体输出规则权重</x:v>
      </x:c>
      <x:c r="Z18" s="27" t="str">
        <x:v>工件智能体先定工件/机器，小车智能体接收其决策后定AGV并推进</x:v>
      </x:c>
      <x:c r="AA18" s="27" t="str">
        <x:v>动作由可执行规则集合限制</x:v>
      </x:c>
      <x:c r="AB18" s="27" t="str">
        <x:v>完成全部工件</x:v>
      </x:c>
      <x:c r="AC18" s="27" t="str">
        <x:v>两智能体依次观测→ε-greedy选权重动作→环境执行→DQN经验学习</x:v>
      </x:c>
      <x:c r="AD18" s="27" t="str">
        <x:v>两智能体依次观测→ε-greedy选权重动作→环境执行→DQN经验学习</x:v>
      </x:c>
      <x:c r="AE18" s="27" t="str">
        <x:v>实际案例：4工件、9机器、3AGV、16次搬运</x:v>
      </x:c>
      <x:c r="AF18" s="27" t="str">
        <x:v>4</x:v>
      </x:c>
      <x:c r="AG18" s="27" t="str">
        <x:v>工序数不等</x:v>
      </x:c>
      <x:c r="AH18" s="27" t="str">
        <x:v>9</x:v>
      </x:c>
      <x:c r="AI18" s="27" t="str">
        <x:v>3</x:v>
      </x:c>
      <x:c r="AJ18" s="27" t="str">
        <x:v>实际离散制造车间布局</x:v>
      </x:c>
      <x:c r="AK18" s="27" t="str">
        <x:v>案例</x:v>
      </x:c>
      <x:c r="AL18" s="27" t="str">
        <x:v>文献[21]算法</x:v>
      </x:c>
      <x:c r="AM18" s="27" t="str">
        <x:v>全部工件完成；训练预算未报告</x:v>
      </x:c>
      <x:c r="AN18" s="27" t="str">
        <x:v>全部工件完成；训练预算未报告</x:v>
      </x:c>
      <x:c r="AO18" s="27" t="str">
        <x:v>未报告</x:v>
      </x:c>
      <x:c r="AP18" s="27" t="str">
        <x:v>未报告</x:v>
      </x:c>
      <x:c r="AQ18" s="27" t="str">
        <x:v>未报告</x:v>
      </x:c>
      <x:c r="AR18" s="27" t="str">
        <x:v>makespan、AGV搬运次数均衡</x:v>
      </x:c>
      <x:c r="AS18" s="27" t="str">
        <x:v>原始Markdown与N2/N4派生证据可用</x:v>
      </x:c>
      <x:c r="AT18" s="27" t="str">
        <x:v>文内结论与范围见N2引用与证据状态表</x:v>
      </x:c>
      <x:c r="AU18" s="27" t="str">
        <x:v>直接：摘要“工件智能体”“小车智能体”“交互”“小车位置”；离散制造案例；综合调度与负载指标</x:v>
      </x:c>
      <x:c r="AV18" s="27" t="str">
        <x:v>N5/N6深度抽取：B015 `2.2 调度流程`、`2.3 学习过程`；B015 案例段与图6</x:v>
      </x:c>
      <x:c r="AW18" s="27" t="str">
        <x:v>跨论文性能不可直接比较</x:v>
      </x:c>
      <x:c r="AX18" s="27" t="str">
        <x:v>深度抽取完成；原文未报告项已显式保留，不得补猜</x:v>
      </x:c>
      <x:c r="AY18" s="27" t="str">
        <x:v>direct evidence</x:v>
      </x:c>
      <x:c r="AZ18" s="27" t="str">
        <x:v>direct</x:v>
      </x:c>
      <x:c r="BA18" s="27" t="str">
        <x:v>Deep extraction complete</x:v>
      </x:c>
      <x:c r="BB18" s="27" t="str">
        <x:v>OK</x:v>
      </x:c>
    </x:row>
    <x:row r="19" ht="66" hidden="0" customHeight="1">
      <x:c r="A19" s="27" t="str">
        <x:v>L016-E01</x:v>
      </x:c>
      <x:c r="B19" s="27" t="str">
        <x:v>L016</x:v>
      </x:c>
      <x:c r="C19" s="27" t="str">
        <x:v>B016 `2.1 算法框架`、时间窗A*、组合重调度；B016 表4、动态试验</x:v>
      </x:c>
      <x:c r="D19" s="27" t="str">
        <x:v>Verified</x:v>
      </x:c>
      <x:c r="E19" s="27" t="str">
        <x:v>生产车间；动/随</x:v>
      </x:c>
      <x:c r="F19" s="27" t="str">
        <x:v>workshop</x:v>
      </x:c>
      <x:c r="G19" s="27" t="str">
        <x:v>combination</x:v>
      </x:c>
      <x:c r="H19" s="27" t="str">
        <x:v>工件；机器；AGV；路网</x:v>
      </x:c>
      <x:c r="I19" s="27" t="str">
        <x:v>工序排序；机器分配；车辆/任务分配；路径规划；冲突控制；恢复决策</x:v>
      </x:c>
      <x:c r="J19" s="27" t="str">
        <x:v>效率；稳定性；多目标组合</x:v>
      </x:c>
      <x:c r="K19" s="27" t="str">
        <x:v>到达时间；工时不确定；时间窗；无冲突路径；状态继承</x:v>
      </x:c>
      <x:c r="L19" s="27" t="str">
        <x:v>见原文；未显式报告者不补猜</x:v>
      </x:c>
      <x:c r="M19" s="27" t="str">
        <x:v>dynamic stochastic</x:v>
      </x:c>
      <x:c r="N19" s="27" t="str">
        <x:v>online</x:v>
      </x:c>
      <x:c r="O19" s="27" t="str">
        <x:v>新订单/动态到达；加工时间变化</x:v>
      </x:c>
      <x:c r="P19" s="27" t="str">
        <x:v>新订单/动态到达；加工时间变化</x:v>
      </x:c>
      <x:c r="Q19" s="27" t="str">
        <x:v>动/随</x:v>
      </x:c>
      <x:c r="R19" s="27" t="str">
        <x:v>not reported</x:v>
      </x:c>
      <x:c r="S19" s="27" t="str">
        <x:v>工件；机器；AGV；路网</x:v>
      </x:c>
      <x:c r="T19" s="27" t="str">
        <x:v>见动态处理/恢复决策字段</x:v>
      </x:c>
      <x:c r="U19" s="27" t="str">
        <x:v>hierarchical</x:v>
      </x:c>
      <x:c r="V19" s="27" t="str">
        <x:v>hybrid</x:v>
      </x:c>
      <x:c r="W19" s="27" t="str">
        <x:v>multi-objective combination</x:v>
      </x:c>
      <x:c r="X19" s="27" t="str">
        <x:v>核心车间原始研究；原分类=混合；动/随</x:v>
      </x:c>
      <x:c r="Y19" s="27" t="str">
        <x:v>工件、机器、AGV与时窗路径状态；9个复合规则动作</x:v>
      </x:c>
      <x:c r="Z19" s="27" t="str">
        <x:v>规则组合决定工件/机器/AGV，时窗A*生成无冲突路径</x:v>
      </x:c>
      <x:c r="AA19" s="27" t="str">
        <x:v>工时延误先判干涉；右移与完全重调度择优</x:v>
      </x:c>
      <x:c r="AB19" s="27" t="str">
        <x:v>最后工序结束；动态仿真时钟结束</x:v>
      </x:c>
      <x:c r="AC19" s="27" t="str">
        <x:v>DQN选择复合规则；事件+周期触发组合重调度，评价相同时优先右移</x:v>
      </x:c>
      <x:c r="AD19" s="27" t="str">
        <x:v>DQN选择复合规则；事件+周期触发组合重调度，评价相同时优先右移</x:v>
      </x:c>
      <x:c r="AE19" s="27" t="str">
        <x:v>4/4、4/6、7/6、10/8工件/机器；AGV 2–7；另有动态到达与随机工时案例</x:v>
      </x:c>
      <x:c r="AF19" s="27" t="str">
        <x:v>4/4、4/6、7/6、10/8中的工件数</x:v>
      </x:c>
      <x:c r="AG19" s="27" t="str">
        <x:v>见案例</x:v>
      </x:c>
      <x:c r="AH19" s="27" t="str">
        <x:v>4/6/6/8</x:v>
      </x:c>
      <x:c r="AI19" s="27" t="str">
        <x:v>2–7</x:v>
      </x:c>
      <x:c r="AJ19" s="27" t="str">
        <x:v>拓扑地图+时间窗</x:v>
      </x:c>
      <x:c r="AK19" s="27" t="str">
        <x:v>四档案例+动态案例</x:v>
      </x:c>
      <x:c r="AL19" s="27" t="str">
        <x:v>文献算法；右移与完全重调度</x:v>
      </x:c>
      <x:c r="AM19" s="27" t="str">
        <x:v>最后工序结束；网络训练预算未完整报告</x:v>
      </x:c>
      <x:c r="AN19" s="27" t="str">
        <x:v>最后工序结束；网络训练预算未完整报告</x:v>
      </x:c>
      <x:c r="AO19" s="27" t="str">
        <x:v>未报告</x:v>
      </x:c>
      <x:c r="AP19" s="27" t="str">
        <x:v>未报告</x:v>
      </x:c>
      <x:c r="AQ19" s="27" t="str">
        <x:v>未报告</x:v>
      </x:c>
      <x:c r="AR19" s="27" t="str">
        <x:v>makespan、总拖期、机器利用率、Td/Dd/Y</x:v>
      </x:c>
      <x:c r="AS19" s="27" t="str">
        <x:v>原始Markdown与N2/N4派生证据可用</x:v>
      </x:c>
      <x:c r="AT19" s="27" t="str">
        <x:v>文内结论与范围见N2引用与证据状态表</x:v>
      </x:c>
      <x:c r="AU19" s="27" t="str">
        <x:v>直接：摘要“工件动态到达”“工时不确定”“右移/完全重调度”“时间窗”；限制：转换文本存在缺字；动态到达/工时不确定案例；转换缺字限制</x:v>
      </x:c>
      <x:c r="AV19" s="27" t="str">
        <x:v>N5/N6深度抽取：B016 `2.1 算法框架`、时间窗A*、组合重调度；B016 表4、动态试验</x:v>
      </x:c>
      <x:c r="AW19" s="27" t="str">
        <x:v>跨论文性能不可直接比较</x:v>
      </x:c>
      <x:c r="AX19" s="27" t="str">
        <x:v>深度抽取完成；原文未报告项已显式保留，不得补猜</x:v>
      </x:c>
      <x:c r="AY19" s="27" t="str">
        <x:v>direct evidence</x:v>
      </x:c>
      <x:c r="AZ19" s="27" t="str">
        <x:v>direct</x:v>
      </x:c>
      <x:c r="BA19" s="27" t="str">
        <x:v>Deep extraction complete</x:v>
      </x:c>
      <x:c r="BB19" s="27" t="str">
        <x:v>OK</x:v>
      </x:c>
    </x:row>
    <x:row r="20" ht="52.79999923706055" hidden="0" customHeight="1">
      <x:c r="A20" s="27" t="str">
        <x:v>L017-E01</x:v>
      </x:c>
      <x:c r="B20" s="27" t="str">
        <x:v>L017</x:v>
      </x:c>
      <x:c r="C20" s="27" t="str">
        <x:v>B017 `2 MSPPO算法`、`2.4 算法框架`；B017 `3.1`、`3.4`</x:v>
      </x:c>
      <x:c r="D20" s="27" t="str">
        <x:v>Verified</x:v>
      </x:c>
      <x:c r="E20" s="27" t="str">
        <x:v>生产车间（绿色车间）；静/确</x:v>
      </x:c>
      <x:c r="F20" s="27" t="str">
        <x:v>workshop</x:v>
      </x:c>
      <x:c r="G20" s="27" t="str">
        <x:v>combination</x:v>
      </x:c>
      <x:c r="H20" s="27" t="str">
        <x:v>工件；机器；AGV；能源设施</x:v>
      </x:c>
      <x:c r="I20" s="27" t="str">
        <x:v>工序排序；机器分配；车辆/任务分配；速度决策；充电决策</x:v>
      </x:c>
      <x:c r="J20" s="27" t="str">
        <x:v>效率；能源；多目标组合</x:v>
      </x:c>
      <x:c r="K20" s="27" t="str">
        <x:v>工序优先；运输；速度范围；电池/充电</x:v>
      </x:c>
      <x:c r="L20" s="27" t="str">
        <x:v>见原文；未显式报告者不补猜</x:v>
      </x:c>
      <x:c r="M20" s="27" t="str">
        <x:v>static deterministic</x:v>
      </x:c>
      <x:c r="N20" s="27" t="str">
        <x:v>offline</x:v>
      </x:c>
      <x:c r="O20" s="27" t="str">
        <x:v>低电量；充电资源竞争</x:v>
      </x:c>
      <x:c r="P20" s="27" t="str">
        <x:v>低电量；充电资源竞争</x:v>
      </x:c>
      <x:c r="Q20" s="27" t="str">
        <x:v>静/确</x:v>
      </x:c>
      <x:c r="R20" s="27" t="str">
        <x:v>not reported</x:v>
      </x:c>
      <x:c r="S20" s="27" t="str">
        <x:v>工件；机器；AGV；能源设施</x:v>
      </x:c>
      <x:c r="T20" s="27" t="str">
        <x:v>见动态处理/恢复决策字段</x:v>
      </x:c>
      <x:c r="U20" s="27" t="str">
        <x:v>joint</x:v>
      </x:c>
      <x:c r="V20" s="27" t="str">
        <x:v>learning-based</x:v>
      </x:c>
      <x:c r="W20" s="27" t="str">
        <x:v>multi-objective combination</x:v>
      </x:c>
      <x:c r="X20" s="27" t="str">
        <x:v>核心车间原始研究；原分类=学习型；静/确</x:v>
      </x:c>
      <x:c r="Y20" s="27" t="str">
        <x:v>工序、机器、AGV、速度/充电状态的析取图表示</x:v>
      </x:c>
      <x:c r="Z20" s="27" t="str">
        <x:v>策略动作后更新加工、运输、电量和充电</x:v>
      </x:c>
      <x:c r="AA20" s="27" t="str">
        <x:v>可行规则与析取图约束排除冲突</x:v>
      </x:c>
      <x:c r="AB20" s="27" t="str">
        <x:v>完成所有工序/训练回合</x:v>
      </x:c>
      <x:c r="AC20" s="27" t="str">
        <x:v>多策略PPO在联合调度环境中选复合动作；多策略网络嵌入PPO</x:v>
      </x:c>
      <x:c r="AD20" s="27" t="str">
        <x:v>多策略PPO在联合调度环境中选复合动作；多策略网络嵌入PPO</x:v>
      </x:c>
      <x:c r="AE20" s="27" t="str">
        <x:v>绿色FJSP与变速充电AGV算例</x:v>
      </x:c>
      <x:c r="AF20" s="27" t="str">
        <x:v>见实验算例</x:v>
      </x:c>
      <x:c r="AG20" s="27" t="str">
        <x:v>见实验算例</x:v>
      </x:c>
      <x:c r="AH20" s="27" t="str">
        <x:v>见实验算例</x:v>
      </x:c>
      <x:c r="AI20" s="27" t="str">
        <x:v>见实验算例</x:v>
      </x:c>
      <x:c r="AJ20" s="27" t="str">
        <x:v>车间运输/充电布局</x:v>
      </x:c>
      <x:c r="AK20" s="27" t="str">
        <x:v>多规模</x:v>
      </x:c>
      <x:c r="AL20" s="27" t="str">
        <x:v>NSGA-II及文内多目标算法</x:v>
      </x:c>
      <x:c r="AM20" s="27" t="str">
        <x:v>参数见§3.1；完整预算按原文表</x:v>
      </x:c>
      <x:c r="AN20" s="27" t="str">
        <x:v>参数见§3.1；完整预算按原文表</x:v>
      </x:c>
      <x:c r="AO20" s="27" t="str">
        <x:v>未报告</x:v>
      </x:c>
      <x:c r="AP20" s="27" t="str">
        <x:v>未报告</x:v>
      </x:c>
      <x:c r="AQ20" s="27" t="str">
        <x:v>未报告</x:v>
      </x:c>
      <x:c r="AR20" s="27" t="str">
        <x:v>makespan、能耗、HV、IGD</x:v>
      </x:c>
      <x:c r="AS20" s="27" t="str">
        <x:v>原始Markdown与N2/N4派生证据可用</x:v>
      </x:c>
      <x:c r="AT20" s="27" t="str">
        <x:v>文内结论与范围见N2引用与证据状态表</x:v>
      </x:c>
      <x:c r="AU20" s="27" t="str">
        <x:v>直接：题名/摘要；“变速充电AGV”；MSPPO；析取图；HV/IGD；多目标算例；HV/IGD；完整参考点和重复待N6抽取</x:v>
      </x:c>
      <x:c r="AV20" s="27" t="str">
        <x:v>N5/N6深度抽取：B017 `2 MSPPO算法`、`2.4 算法框架`；B017 `3.1`、`3.4`</x:v>
      </x:c>
      <x:c r="AW20" s="27" t="str">
        <x:v>跨论文性能不可直接比较</x:v>
      </x:c>
      <x:c r="AX20" s="27" t="str">
        <x:v>深度抽取完成；原文未报告项已显式保留，不得补猜</x:v>
      </x:c>
      <x:c r="AY20" s="27" t="str">
        <x:v>direct evidence</x:v>
      </x:c>
      <x:c r="AZ20" s="27" t="str">
        <x:v>direct</x:v>
      </x:c>
      <x:c r="BA20" s="27" t="str">
        <x:v>Deep extraction complete</x:v>
      </x:c>
      <x:c r="BB20" s="27" t="str">
        <x:v>OK</x:v>
      </x:c>
    </x:row>
    <x:row r="21" ht="52.79999923706055" hidden="0" customHeight="1">
      <x:c r="A21" s="27" t="str">
        <x:v>L018-E01</x:v>
      </x:c>
      <x:c r="B21" s="27" t="str">
        <x:v>L018</x:v>
      </x:c>
      <x:c r="C21" s="27" t="str">
        <x:v>B018 `2.1 算法流程`、`2.2 编码设计`；B018 `3 算例`</x:v>
      </x:c>
      <x:c r="D21" s="27" t="str">
        <x:v>Verified</x:v>
      </x:c>
      <x:c r="E21" s="27" t="str">
        <x:v>生产车间；静/确</x:v>
      </x:c>
      <x:c r="F21" s="27" t="str">
        <x:v>workshop</x:v>
      </x:c>
      <x:c r="G21" s="27" t="str">
        <x:v>combination</x:v>
      </x:c>
      <x:c r="H21" s="27" t="str">
        <x:v>工件；机器；多AGV</x:v>
      </x:c>
      <x:c r="I21" s="27" t="str">
        <x:v>工序排序；车辆/任务分配；资源配置</x:v>
      </x:c>
      <x:c r="J21" s="27" t="str">
        <x:v>效率；资源成本；多目标组合</x:v>
      </x:c>
      <x:c r="K21" s="27" t="str">
        <x:v>工序优先；有限车辆；多约束</x:v>
      </x:c>
      <x:c r="L21" s="27" t="str">
        <x:v>见原文；未显式报告者不补猜</x:v>
      </x:c>
      <x:c r="M21" s="27" t="str">
        <x:v>static deterministic</x:v>
      </x:c>
      <x:c r="N21" s="27" t="str">
        <x:v>offline</x:v>
      </x:c>
      <x:c r="O21" s="27" t="str">
        <x:v>无事件</x:v>
      </x:c>
      <x:c r="P21" s="27" t="str">
        <x:v>无事件</x:v>
      </x:c>
      <x:c r="Q21" s="27" t="str">
        <x:v>静/确</x:v>
      </x:c>
      <x:c r="R21" s="27" t="str">
        <x:v>not reported</x:v>
      </x:c>
      <x:c r="S21" s="27" t="str">
        <x:v>工件；机器；多AGV</x:v>
      </x:c>
      <x:c r="T21" s="27" t="str">
        <x:v>见动态处理/恢复决策字段</x:v>
      </x:c>
      <x:c r="U21" s="27" t="str">
        <x:v>joint</x:v>
      </x:c>
      <x:c r="V21" s="27" t="str">
        <x:v>hybrid</x:v>
      </x:c>
      <x:c r="W21" s="27" t="str">
        <x:v>multi-objective combination</x:v>
      </x:c>
      <x:c r="X21" s="27" t="str">
        <x:v>核心车间原始研究；原分类=混合；静/确</x:v>
      </x:c>
      <x:c r="Y21" s="27" t="str">
        <x:v>多AGV调度染色体</x:v>
      </x:c>
      <x:c r="Z21" s="27" t="str">
        <x:v>按染色体生成任务顺序与车辆计划</x:v>
      </x:c>
      <x:c r="AA21" s="27" t="str">
        <x:v>变异/差分更新后进行可行性处理</x:v>
      </x:c>
      <x:c r="AB21" s="27" t="str">
        <x:v>达到最大迭代</x:v>
      </x:c>
      <x:c r="AC21" s="27" t="str">
        <x:v>AMOGA 主循环中嵌入差分进化与外部精英/非支配选择</x:v>
      </x:c>
      <x:c r="AD21" s="27" t="str">
        <x:v>AMOGA 主循环中嵌入差分进化与外部精英/非支配选择</x:v>
      </x:c>
      <x:c r="AE21" s="27" t="str">
        <x:v>3种规模多AGV车间算例</x:v>
      </x:c>
      <x:c r="AF21" s="27" t="str">
        <x:v>见三种规模算例</x:v>
      </x:c>
      <x:c r="AG21" s="27" t="str">
        <x:v>不适用</x:v>
      </x:c>
      <x:c r="AH21" s="27" t="str">
        <x:v>不适用</x:v>
      </x:c>
      <x:c r="AI21" s="27" t="str">
        <x:v>多AGV</x:v>
      </x:c>
      <x:c r="AJ21" s="27" t="str">
        <x:v>智能车间布局</x:v>
      </x:c>
      <x:c r="AK21" s="27" t="str">
        <x:v>三档</x:v>
      </x:c>
      <x:c r="AL21" s="27" t="str">
        <x:v>NSGA-II、SPEA2</x:v>
      </x:c>
      <x:c r="AM21" s="27" t="str">
        <x:v>参数与迭代见§3</x:v>
      </x:c>
      <x:c r="AN21" s="27" t="str">
        <x:v>参数与迭代见§3</x:v>
      </x:c>
      <x:c r="AO21" s="27" t="str">
        <x:v>未报告</x:v>
      </x:c>
      <x:c r="AP21" s="27" t="str">
        <x:v>未报告</x:v>
      </x:c>
      <x:c r="AQ21" s="27" t="str">
        <x:v>未报告</x:v>
      </x:c>
      <x:c r="AR21" s="27" t="str">
        <x:v>多目标值、Pareto分布、收敛/多样性</x:v>
      </x:c>
      <x:c r="AS21" s="27" t="str">
        <x:v>原始Markdown与N2/N4派生证据可用</x:v>
      </x:c>
      <x:c r="AT21" s="27" t="str">
        <x:v>文内结论与范围见N2引用与证据状态表</x:v>
      </x:c>
      <x:c r="AU21" s="27" t="str">
        <x:v>直接：摘要“完工时间、AGV数量、惩罚成本”“多段式实数编码”；3个规模；NSGA-II/SPEA2对比</x:v>
      </x:c>
      <x:c r="AV21" s="27" t="str">
        <x:v>N5/N6深度抽取：B018 `2.1 算法流程`、`2.2 编码设计`；B018 `3 算例`</x:v>
      </x:c>
      <x:c r="AW21" s="27" t="str">
        <x:v>跨论文性能不可直接比较</x:v>
      </x:c>
      <x:c r="AX21" s="27" t="str">
        <x:v>深度抽取完成；原文未报告项已显式保留，不得补猜</x:v>
      </x:c>
      <x:c r="AY21" s="27" t="str">
        <x:v>direct evidence</x:v>
      </x:c>
      <x:c r="AZ21" s="27" t="str">
        <x:v>direct</x:v>
      </x:c>
      <x:c r="BA21" s="27" t="str">
        <x:v>Deep extraction complete</x:v>
      </x:c>
      <x:c r="BB21" s="27" t="str">
        <x:v>OK</x:v>
      </x:c>
    </x:row>
    <x:row r="22" ht="52.79999923706055" hidden="0" customHeight="1">
      <x:c r="A22" s="27" t="str">
        <x:v>L019-E01</x:v>
      </x:c>
      <x:c r="B22" s="27" t="str">
        <x:v>L019</x:v>
      </x:c>
      <x:c r="C22" s="27" t="str">
        <x:v>B019 `2.2.1 编码和解码`、GAIVNS流程；B019 `3.1`–`4.2`</x:v>
      </x:c>
      <x:c r="D22" s="27" t="str">
        <x:v>Original-source verified</x:v>
      </x:c>
      <x:c r="E22" s="27" t="str">
        <x:v>生产车间；静/确</x:v>
      </x:c>
      <x:c r="F22" s="27" t="str">
        <x:v>workshop</x:v>
      </x:c>
      <x:c r="G22" s="27" t="str">
        <x:v>combination</x:v>
      </x:c>
      <x:c r="H22" s="27" t="str">
        <x:v>工件；机器；AGV</x:v>
      </x:c>
      <x:c r="I22" s="27" t="str">
        <x:v>工序排序；机器分配；车辆/任务分配；运输排序</x:v>
      </x:c>
      <x:c r="J22" s="27" t="str">
        <x:v>效率；多目标组合</x:v>
      </x:c>
      <x:c r="K22" s="27" t="str">
        <x:v>工序优先；机器可选/占用；有限车辆；运输时间</x:v>
      </x:c>
      <x:c r="L22" s="27" t="str">
        <x:v>见原文；未显式报告者不补猜</x:v>
      </x:c>
      <x:c r="M22" s="27" t="str">
        <x:v>static deterministic</x:v>
      </x:c>
      <x:c r="N22" s="27" t="str">
        <x:v>offline</x:v>
      </x:c>
      <x:c r="O22" s="27" t="str">
        <x:v>无事件</x:v>
      </x:c>
      <x:c r="P22" s="27" t="str">
        <x:v>无事件</x:v>
      </x:c>
      <x:c r="Q22" s="27" t="str">
        <x:v>静/确</x:v>
      </x:c>
      <x:c r="R22" s="27" t="str">
        <x:v>not reported</x:v>
      </x:c>
      <x:c r="S22" s="27" t="str">
        <x:v>工件；机器；AGV</x:v>
      </x:c>
      <x:c r="T22" s="27" t="str">
        <x:v>见动态处理/恢复决策字段</x:v>
      </x:c>
      <x:c r="U22" s="27" t="str">
        <x:v>joint</x:v>
      </x:c>
      <x:c r="V22" s="27" t="str">
        <x:v>hybrid</x:v>
      </x:c>
      <x:c r="W22" s="27" t="str">
        <x:v>multi-objective combination</x:v>
      </x:c>
      <x:c r="X22" s="27" t="str">
        <x:v>核心车间原始研究；原分类=混合；静/确</x:v>
      </x:c>
      <x:c r="Y22" s="27" t="str">
        <x:v>OS–MS–AS 三层编码</x:v>
      </x:c>
      <x:c r="Z22" s="27" t="str">
        <x:v>顺序解码机器加工与AGV运输</x:v>
      </x:c>
      <x:c r="AA22" s="27" t="str">
        <x:v>邻域后保持工序次数、机器资格与车辆编号合法</x:v>
      </x:c>
      <x:c r="AB22" s="27" t="str">
        <x:v>达到最大迭代</x:v>
      </x:c>
      <x:c r="AC22" s="27" t="str">
        <x:v>GA全局进化后在关键路径上执行改进VNS；局部搜索为代内改进插入点</x:v>
      </x:c>
      <x:c r="AD22" s="27" t="str">
        <x:v>GA全局进化后在关键路径上执行改进VNS；局部搜索为代内改进插入点</x:v>
      </x:c>
      <x:c r="AE22" s="27" t="str">
        <x:v>标准算例、企业案例与12/96组配置试验</x:v>
      </x:c>
      <x:c r="AF22" s="27" t="str">
        <x:v>标准算例与企业案例</x:v>
      </x:c>
      <x:c r="AG22" s="27" t="str">
        <x:v>见算例</x:v>
      </x:c>
      <x:c r="AH22" s="27" t="str">
        <x:v>见算例</x:v>
      </x:c>
      <x:c r="AI22" s="27" t="str">
        <x:v>见配置实验</x:v>
      </x:c>
      <x:c r="AJ22" s="27" t="str">
        <x:v>车间运输矩阵</x:v>
      </x:c>
      <x:c r="AK22" s="27" t="str">
        <x:v>标准+企业案例</x:v>
      </x:c>
      <x:c r="AL22" s="27" t="str">
        <x:v>GA及文内先进算法</x:v>
      </x:c>
      <x:c r="AM22" s="27" t="str">
        <x:v>参数见§3.1；最大迭代停止</x:v>
      </x:c>
      <x:c r="AN22" s="27" t="str">
        <x:v>参数见§3.1；最大迭代停止</x:v>
      </x:c>
      <x:c r="AO22" s="27" t="str">
        <x:v>未报告</x:v>
      </x:c>
      <x:c r="AP22" s="27" t="str">
        <x:v>未报告</x:v>
      </x:c>
      <x:c r="AQ22" s="27" t="str">
        <x:v>未报告</x:v>
      </x:c>
      <x:c r="AR22" s="27" t="str">
        <x:v>makespan、AGV配置边际、相对差距/求解时间</x:v>
      </x:c>
      <x:c r="AS22" s="27" t="str">
        <x:v>原始Markdown与N2/N4派生证据可用</x:v>
      </x:c>
      <x:c r="AT22" s="27" t="str">
        <x:v>文内结论与范围见N2引用与证据状态表</x:v>
      </x:c>
      <x:c r="AU22" s="27" t="str">
        <x:v>直接：摘要/模型；GAIVNS；三层编码；关键路径；配置实验；标准算例＋企业案例＋配置/敏感性实验</x:v>
      </x:c>
      <x:c r="AV22" s="27" t="str">
        <x:v>N5/N6深度抽取：B019 `2.2.1 编码和解码`、GAIVNS流程；B019 `3.1`–`4.2`</x:v>
      </x:c>
      <x:c r="AW22" s="27" t="str">
        <x:v>跨论文性能不可直接比较</x:v>
      </x:c>
      <x:c r="AX22" s="27" t="str">
        <x:v>深度抽取完成；原文未报告项已显式保留，不得补猜</x:v>
      </x:c>
      <x:c r="AY22" s="27" t="str">
        <x:v>direct evidence</x:v>
      </x:c>
      <x:c r="AZ22" s="27" t="str">
        <x:v>direct</x:v>
      </x:c>
      <x:c r="BA22" s="27" t="str">
        <x:v>Deep extraction complete</x:v>
      </x:c>
      <x:c r="BB22" s="27" t="str">
        <x:v>OK</x:v>
      </x:c>
    </x:row>
    <x:row r="23" ht="66" hidden="0" customHeight="1">
      <x:c r="A23" s="27" t="str">
        <x:v>L020-E01</x:v>
      </x:c>
      <x:c r="B23" s="27" t="str">
        <x:v>L020</x:v>
      </x:c>
      <x:c r="C23" s="27" t="str">
        <x:v>B020 `2.1 算法设计`、`3.1 仿真实验`；B020 `3.1 仿真实验`</x:v>
      </x:c>
      <x:c r="D23" s="27" t="str">
        <x:v>Original-source verified</x:v>
      </x:c>
      <x:c r="E23" s="27" t="str">
        <x:v>自动化码头；动/确</x:v>
      </x:c>
      <x:c r="F23" s="27" t="str">
        <x:v>terminal</x:v>
      </x:c>
      <x:c r="G23" s="27" t="str">
        <x:v>combination</x:v>
      </x:c>
      <x:c r="H23" s="27" t="str">
        <x:v>任务；AGV；能源设施</x:v>
      </x:c>
      <x:c r="I23" s="27" t="str">
        <x:v>车辆/任务分配；充电决策</x:v>
      </x:c>
      <x:c r="J23" s="27" t="str">
        <x:v>能源；效率；多目标组合</x:v>
      </x:c>
      <x:c r="K23" s="27" t="str">
        <x:v>电量范围；充电站容量/利用；任务时效；布局</x:v>
      </x:c>
      <x:c r="L23" s="27" t="str">
        <x:v>见原文；未显式报告者不补猜</x:v>
      </x:c>
      <x:c r="M23" s="27" t="str">
        <x:v>dynamic deterministic</x:v>
      </x:c>
      <x:c r="N23" s="27" t="str">
        <x:v>online</x:v>
      </x:c>
      <x:c r="O23" s="27" t="str">
        <x:v>低电量；充电资源竞争</x:v>
      </x:c>
      <x:c r="P23" s="27" t="str">
        <x:v>低电量；充电资源竞争</x:v>
      </x:c>
      <x:c r="Q23" s="27" t="str">
        <x:v>动/确</x:v>
      </x:c>
      <x:c r="R23" s="27" t="str">
        <x:v>not reported</x:v>
      </x:c>
      <x:c r="S23" s="27" t="str">
        <x:v>任务；AGV；能源设施</x:v>
      </x:c>
      <x:c r="T23" s="27" t="str">
        <x:v>见动态处理/恢复决策字段</x:v>
      </x:c>
      <x:c r="U23" s="27" t="str">
        <x:v>unclear</x:v>
      </x:c>
      <x:c r="V23" s="27" t="str">
        <x:v>hybrid</x:v>
      </x:c>
      <x:c r="W23" s="27" t="str">
        <x:v>multi-objective combination</x:v>
      </x:c>
      <x:c r="X23" s="27" t="str">
        <x:v>路径/任务相邻研究；原分类=混合；动/确</x:v>
      </x:c>
      <x:c r="Y23" s="27" t="str">
        <x:v>多AGV局部观测、连续动作与电量状态</x:v>
      </x:c>
      <x:c r="Z23" s="27" t="str">
        <x:v>MADDPG执行联合动作并推进码头运输环境</x:v>
      </x:c>
      <x:c r="AA23" s="27" t="str">
        <x:v>势博弈奖励/约束协调能量均衡与冲突</x:v>
      </x:c>
      <x:c r="AB23" s="27" t="str">
        <x:v>训练回合/任务完成</x:v>
      </x:c>
      <x:c r="AC23" s="27" t="str">
        <x:v>集中训练分散执行；势博弈项嵌入MADDPG奖励与策略更新</x:v>
      </x:c>
      <x:c r="AD23" s="27" t="str">
        <x:v>集中训练分散执行；势博弈项嵌入MADDPG奖励与策略更新</x:v>
      </x:c>
      <x:c r="AE23" s="27" t="str">
        <x:v>3艘实际船舶数据的码头AGV群仿真</x:v>
      </x:c>
      <x:c r="AF23" s="27" t="str">
        <x:v>3艘实际船舶任务</x:v>
      </x:c>
      <x:c r="AG23" s="27" t="str">
        <x:v>不适用</x:v>
      </x:c>
      <x:c r="AH23" s="27" t="str">
        <x:v>码头作业资源</x:v>
      </x:c>
      <x:c r="AI23" s="27" t="str">
        <x:v>AGV群，数量见实验</x:v>
      </x:c>
      <x:c r="AJ23" s="27" t="str">
        <x:v>自动化码头</x:v>
      </x:c>
      <x:c r="AK23" s="27" t="str">
        <x:v>实际数据案例</x:v>
      </x:c>
      <x:c r="AL23" s="27" t="str">
        <x:v>MADDPG等DRL/无势博弈对照</x:v>
      </x:c>
      <x:c r="AM23" s="27" t="str">
        <x:v>训练参数见§3.1</x:v>
      </x:c>
      <x:c r="AN23" s="27" t="str">
        <x:v>训练参数见§3.1</x:v>
      </x:c>
      <x:c r="AO23" s="27" t="str">
        <x:v>未报告</x:v>
      </x:c>
      <x:c r="AP23" s="27" t="str">
        <x:v>未报告</x:v>
      </x:c>
      <x:c r="AQ23" s="27" t="str">
        <x:v>未报告</x:v>
      </x:c>
      <x:c r="AR23" s="27" t="str">
        <x:v>群体电量均衡、奖励、任务效率</x:v>
      </x:c>
      <x:c r="AS23" s="27" t="str">
        <x:v>原始Markdown与N2/N4派生证据可用</x:v>
      </x:c>
      <x:c r="AT23" s="27" t="str">
        <x:v>文内结论与范围见N2引用与证据状态表</x:v>
      </x:c>
      <x:c r="AU23" s="27" t="str">
        <x:v>直接：摘要“高峰和低谷时段”“充电策略”“能量均衡”；限制：任务场景给定，未见概率事件模型；3艘实际船舶场景；能量均衡与效率指标</x:v>
      </x:c>
      <x:c r="AV23" s="27" t="str">
        <x:v>N5/N6深度抽取：B020 `2.1 算法设计`、`3.1 仿真实验`；B020 `3.1 仿真实验`</x:v>
      </x:c>
      <x:c r="AW23" s="27" t="str">
        <x:v>跨论文性能不可直接比较</x:v>
      </x:c>
      <x:c r="AX23" s="27" t="str">
        <x:v>深度抽取完成；原文未报告项已显式保留，不得补猜</x:v>
      </x:c>
      <x:c r="AY23" s="27" t="str">
        <x:v>direct evidence</x:v>
      </x:c>
      <x:c r="AZ23" s="27" t="str">
        <x:v>direct</x:v>
      </x:c>
      <x:c r="BA23" s="27" t="str">
        <x:v>Deep extraction complete</x:v>
      </x:c>
      <x:c r="BB23" s="27" t="str">
        <x:v>OK</x:v>
      </x:c>
    </x:row>
    <x:row r="24" ht="52.79999923706055" hidden="0" customHeight="1">
      <x:c r="A24" s="27" t="str">
        <x:v>L021-E01</x:v>
      </x:c>
      <x:c r="B24" s="27" t="str">
        <x:v>L021</x:v>
      </x:c>
      <x:c r="C24" s="27" t="str">
        <x:v>B021 P2V/V2P、改进A*、DQN、CBS章节；B021 `4.1`–`4.3`</x:v>
      </x:c>
      <x:c r="D24" s="27" t="str">
        <x:v>Original-source verified</x:v>
      </x:c>
      <x:c r="E24" s="27" t="str">
        <x:v>仓储（无人仓）；动/未报</x:v>
      </x:c>
      <x:c r="F24" s="27" t="str">
        <x:v>warehouse</x:v>
      </x:c>
      <x:c r="G24" s="27" t="str">
        <x:v>combination</x:v>
      </x:c>
      <x:c r="H24" s="27" t="str">
        <x:v>AGV；路网；数字孪生</x:v>
      </x:c>
      <x:c r="I24" s="27" t="str">
        <x:v>路径规划；冲突控制</x:v>
      </x:c>
      <x:c r="J24" s="27" t="str">
        <x:v>效率；安全</x:v>
      </x:c>
      <x:c r="K24" s="27" t="str">
        <x:v>路径互斥；无碰撞；6–12辆AGV</x:v>
      </x:c>
      <x:c r="L24" s="27" t="str">
        <x:v>见原文；未显式报告者不补猜</x:v>
      </x:c>
      <x:c r="M24" s="27" t="str">
        <x:v>other</x:v>
      </x:c>
      <x:c r="N24" s="27" t="str">
        <x:v>online</x:v>
      </x:c>
      <x:c r="O24" s="27" t="str">
        <x:v>碰撞风险；拥堵</x:v>
      </x:c>
      <x:c r="P24" s="27" t="str">
        <x:v>碰撞风险；拥堵</x:v>
      </x:c>
      <x:c r="Q24" s="27" t="str">
        <x:v>动/未报</x:v>
      </x:c>
      <x:c r="R24" s="27" t="str">
        <x:v>not reported</x:v>
      </x:c>
      <x:c r="S24" s="27" t="str">
        <x:v>AGV；路网；数字孪生</x:v>
      </x:c>
      <x:c r="T24" s="27" t="str">
        <x:v>见动态处理/恢复决策字段</x:v>
      </x:c>
      <x:c r="U24" s="27" t="str">
        <x:v>hierarchical</x:v>
      </x:c>
      <x:c r="V24" s="27" t="str">
        <x:v>hybrid</x:v>
      </x:c>
      <x:c r="W24" s="27" t="str">
        <x:v>safety</x:v>
      </x:c>
      <x:c r="X24" s="27" t="str">
        <x:v>路径/任务相邻研究；原分类=混合；动/未报</x:v>
      </x:c>
      <x:c r="Y24" s="27" t="str">
        <x:v>数字孪生路网、AGV状态和预约/冲突信息</x:v>
      </x:c>
      <x:c r="Z24" s="27" t="str">
        <x:v>改进A*产生单车路径，DQN决策，CBS协调多车</x:v>
      </x:c>
      <x:c r="AA24" s="27" t="str">
        <x:v>CBS检测冲突并添加约束后重规划</x:v>
      </x:c>
      <x:c r="AB24" s="27" t="str">
        <x:v>无冲突路径集或任务完成</x:v>
      </x:c>
      <x:c r="AC24" s="27" t="str">
        <x:v>P2V采集→A*+DQN路径优化→CBS冲突消解→V2P反馈</x:v>
      </x:c>
      <x:c r="AD24" s="27" t="str">
        <x:v>P2V采集→A*+DQN路径优化→CBS冲突消解→V2P反馈</x:v>
      </x:c>
      <x:c r="AE24" s="27" t="str">
        <x:v>数字孪生无人仓；6–12辆AGV，小/大规模</x:v>
      </x:c>
      <x:c r="AF24" s="27" t="str">
        <x:v>仓储任务，见算例</x:v>
      </x:c>
      <x:c r="AG24" s="27" t="str">
        <x:v>不适用</x:v>
      </x:c>
      <x:c r="AH24" s="27" t="str">
        <x:v>不适用</x:v>
      </x:c>
      <x:c r="AI24" s="27" t="str">
        <x:v>6–12</x:v>
      </x:c>
      <x:c r="AJ24" s="27" t="str">
        <x:v>无人仓数字孪生路网</x:v>
      </x:c>
      <x:c r="AK24" s="27" t="str">
        <x:v>小/大规模</x:v>
      </x:c>
      <x:c r="AL24" s="27" t="str">
        <x:v>传统A*、DQN/CBS组合及横向方法</x:v>
      </x:c>
      <x:c r="AM24" s="27" t="str">
        <x:v>路径任务完成；统一训练预算未报告</x:v>
      </x:c>
      <x:c r="AN24" s="27" t="str">
        <x:v>路径任务完成；统一训练预算未报告</x:v>
      </x:c>
      <x:c r="AO24" s="27" t="str">
        <x:v>未报告</x:v>
      </x:c>
      <x:c r="AP24" s="27" t="str">
        <x:v>未报告</x:v>
      </x:c>
      <x:c r="AQ24" s="27" t="str">
        <x:v>未报告</x:v>
      </x:c>
      <x:c r="AR24" s="27" t="str">
        <x:v>路径长度、冲突数、规划/运行时间</x:v>
      </x:c>
      <x:c r="AS24" s="27" t="str">
        <x:v>原始Markdown与N2/N4派生证据可用</x:v>
      </x:c>
      <x:c r="AT24" s="27" t="str">
        <x:v>文内结论与范围见N2引用与证据状态表</x:v>
      </x:c>
      <x:c r="AU24" s="27" t="str">
        <x:v>直接：题名/摘要；改进A；DQN；CBS；数字孪生；限制：随机模型未报告；6–12辆AGV；路径和冲突指标</x:v>
      </x:c>
      <x:c r="AV24" s="27" t="str">
        <x:v>N5/N6深度抽取：B021 P2V/V2P、改进A*、DQN、CBS章节；B021 `4.1`–`4.3`</x:v>
      </x:c>
      <x:c r="AW24" s="27" t="str">
        <x:v>随机性/事件生成机制不完整</x:v>
      </x:c>
      <x:c r="AX24" s="27" t="str">
        <x:v>深度抽取完成；原文未报告项已显式保留，不得补猜</x:v>
      </x:c>
      <x:c r="AY24" s="27" t="str">
        <x:v>direct evidence</x:v>
      </x:c>
      <x:c r="AZ24" s="27" t="str">
        <x:v>direct</x:v>
      </x:c>
      <x:c r="BA24" s="27" t="str">
        <x:v>Deep extraction complete</x:v>
      </x:c>
      <x:c r="BB24" s="27" t="str">
        <x:v>OK</x:v>
      </x:c>
    </x:row>
    <x:row r="25" ht="52.79999923706055" hidden="0" customHeight="1">
      <x:c r="A25" s="27" t="str">
        <x:v>L022-E01</x:v>
      </x:c>
      <x:c r="B25" s="27" t="str">
        <x:v>L022</x:v>
      </x:c>
      <x:c r="C25" s="27" t="str">
        <x:v>B022 `3.1 染色体的编码`、`3.3 算法描述`；B022 `4 仿真结果及分析`</x:v>
      </x:c>
      <x:c r="D25" s="27" t="str">
        <x:v>Original-source verified</x:v>
      </x:c>
      <x:c r="E25" s="27" t="str">
        <x:v>生产车间；静/确</x:v>
      </x:c>
      <x:c r="F25" s="27" t="str">
        <x:v>workshop</x:v>
      </x:c>
      <x:c r="G25" s="27" t="str">
        <x:v>combination</x:v>
      </x:c>
      <x:c r="H25" s="27" t="str">
        <x:v>工件；机器；AGV</x:v>
      </x:c>
      <x:c r="I25" s="27" t="str">
        <x:v>工序排序；机器分配；车辆/任务分配；运输排序</x:v>
      </x:c>
      <x:c r="J25" s="27" t="str">
        <x:v>效率</x:v>
      </x:c>
      <x:c r="K25" s="27" t="str">
        <x:v>工序优先；机床/AGV双资源；运输路线</x:v>
      </x:c>
      <x:c r="L25" s="27" t="str">
        <x:v>见原文；未显式报告者不补猜</x:v>
      </x:c>
      <x:c r="M25" s="27" t="str">
        <x:v>static deterministic</x:v>
      </x:c>
      <x:c r="N25" s="27" t="str">
        <x:v>offline</x:v>
      </x:c>
      <x:c r="O25" s="27" t="str">
        <x:v>无事件</x:v>
      </x:c>
      <x:c r="P25" s="27" t="str">
        <x:v>无事件</x:v>
      </x:c>
      <x:c r="Q25" s="27" t="str">
        <x:v>静/确</x:v>
      </x:c>
      <x:c r="R25" s="27" t="str">
        <x:v>not reported</x:v>
      </x:c>
      <x:c r="S25" s="27" t="str">
        <x:v>工件；机器；AGV</x:v>
      </x:c>
      <x:c r="T25" s="27" t="str">
        <x:v>见动态处理/恢复决策字段</x:v>
      </x:c>
      <x:c r="U25" s="27" t="str">
        <x:v>joint</x:v>
      </x:c>
      <x:c r="V25" s="27" t="str">
        <x:v>metaheuristic</x:v>
      </x:c>
      <x:c r="W25" s="27" t="str">
        <x:v>efficiency</x:v>
      </x:c>
      <x:c r="X25" s="27" t="str">
        <x:v>核心车间原始研究；原分类=元启发式；静/确</x:v>
      </x:c>
      <x:c r="Y25" s="27" t="str">
        <x:v>基于工序特征的染色体</x:v>
      </x:c>
      <x:c r="Z25" s="27" t="str">
        <x:v>按工序序列同时安排机器与AGV</x:v>
      </x:c>
      <x:c r="AA25" s="27" t="str">
        <x:v>交叉变异后按工序优先与双资源约束恢复可行</x:v>
      </x:c>
      <x:c r="AB25" s="27" t="str">
        <x:v>达到设定代数</x:v>
      </x:c>
      <x:c r="AC25" s="27" t="str">
        <x:v>初始化→选择→工序特征交叉/变异→评价与替换</x:v>
      </x:c>
      <x:c r="AD25" s="27" t="str">
        <x:v>初始化→选择→工序特征交叉/变异→评价与替换</x:v>
      </x:c>
      <x:c r="AE25" s="27" t="str">
        <x:v>车间双资源示例算例</x:v>
      </x:c>
      <x:c r="AF25" s="27" t="str">
        <x:v>见算例</x:v>
      </x:c>
      <x:c r="AG25" s="27" t="str">
        <x:v>见算例</x:v>
      </x:c>
      <x:c r="AH25" s="27" t="str">
        <x:v>见算例</x:v>
      </x:c>
      <x:c r="AI25" s="27" t="str">
        <x:v>见算例</x:v>
      </x:c>
      <x:c r="AJ25" s="27" t="str">
        <x:v>车间运输路径</x:v>
      </x:c>
      <x:c r="AK25" s="27" t="str">
        <x:v>案例</x:v>
      </x:c>
      <x:c r="AL25" s="27" t="str">
        <x:v>传统GA/已有结果</x:v>
      </x:c>
      <x:c r="AM25" s="27" t="str">
        <x:v>算法参数与代数见原文算例段</x:v>
      </x:c>
      <x:c r="AN25" s="27" t="str">
        <x:v>算法参数与代数见原文算例段</x:v>
      </x:c>
      <x:c r="AO25" s="27" t="str">
        <x:v>未报告</x:v>
      </x:c>
      <x:c r="AP25" s="27" t="str">
        <x:v>未报告</x:v>
      </x:c>
      <x:c r="AQ25" s="27" t="str">
        <x:v>未报告</x:v>
      </x:c>
      <x:c r="AR25" s="27" t="str">
        <x:v>makespan/求解质量</x:v>
      </x:c>
      <x:c r="AS25" s="27" t="str">
        <x:v>原始Markdown与N2/N4派生证据可用</x:v>
      </x:c>
      <x:c r="AT25" s="27" t="str">
        <x:v>文内结论与范围见N2引用与证据状态表</x:v>
      </x:c>
      <x:c r="AU25" s="27" t="str">
        <x:v>直接：摘要“机床/AGV小车双资源”“数学模型”“工序特征交叉”；车间算例；具体重复和统计未报告</x:v>
      </x:c>
      <x:c r="AV25" s="27" t="str">
        <x:v>N5/N6深度抽取：B022 `3.1 染色体的编码`、`3.3 算法描述`；B022 `4 仿真结果及分析`</x:v>
      </x:c>
      <x:c r="AW25" s="27" t="str">
        <x:v>跨论文性能不可直接比较</x:v>
      </x:c>
      <x:c r="AX25" s="27" t="str">
        <x:v>深度抽取完成；原文未报告项已显式保留，不得补猜</x:v>
      </x:c>
      <x:c r="AY25" s="27" t="str">
        <x:v>direct evidence</x:v>
      </x:c>
      <x:c r="AZ25" s="27" t="str">
        <x:v>direct</x:v>
      </x:c>
      <x:c r="BA25" s="27" t="str">
        <x:v>Deep extraction complete</x:v>
      </x:c>
      <x:c r="BB25" s="27" t="str">
        <x:v>OK</x:v>
      </x:c>
    </x:row>
    <x:row r="26" ht="66" hidden="0" customHeight="1">
      <x:c r="A26" s="27" t="str">
        <x:v>L023-E01</x:v>
      </x:c>
      <x:c r="B26" s="27" t="str">
        <x:v>L023</x:v>
      </x:c>
      <x:c r="C26" s="27" t="str">
        <x:v>B023 `2.1`、`2.2`、第3章；B023 第3章</x:v>
      </x:c>
      <x:c r="D26" s="27" t="str">
        <x:v>Verified</x:v>
      </x:c>
      <x:c r="E26" s="27" t="str">
        <x:v>仓储；动/未报</x:v>
      </x:c>
      <x:c r="F26" s="27" t="str">
        <x:v>warehouse</x:v>
      </x:c>
      <x:c r="G26" s="27" t="str">
        <x:v>combination</x:v>
      </x:c>
      <x:c r="H26" s="27" t="str">
        <x:v>AGV；路网；交通信号；障碍</x:v>
      </x:c>
      <x:c r="I26" s="27" t="str">
        <x:v>路径规划；冲突控制</x:v>
      </x:c>
      <x:c r="J26" s="27" t="str">
        <x:v>安全；效率；计算成本</x:v>
      </x:c>
      <x:c r="K26" s="27" t="str">
        <x:v>交通信号；路径互斥；实时性；障碍识别</x:v>
      </x:c>
      <x:c r="L26" s="27" t="str">
        <x:v>见原文；未显式报告者不补猜</x:v>
      </x:c>
      <x:c r="M26" s="27" t="str">
        <x:v>other</x:v>
      </x:c>
      <x:c r="N26" s="27" t="str">
        <x:v>online</x:v>
      </x:c>
      <x:c r="O26" s="27" t="str">
        <x:v>碰撞风险；死锁风险；拥堵；障碍</x:v>
      </x:c>
      <x:c r="P26" s="27" t="str">
        <x:v>碰撞风险；死锁风险；拥堵；障碍</x:v>
      </x:c>
      <x:c r="Q26" s="27" t="str">
        <x:v>动/未报</x:v>
      </x:c>
      <x:c r="R26" s="27" t="str">
        <x:v>not reported</x:v>
      </x:c>
      <x:c r="S26" s="27" t="str">
        <x:v>AGV；路网；交通信号；障碍</x:v>
      </x:c>
      <x:c r="T26" s="27" t="str">
        <x:v>见动态处理/恢复决策字段</x:v>
      </x:c>
      <x:c r="U26" s="27" t="str">
        <x:v>hierarchical</x:v>
      </x:c>
      <x:c r="V26" s="27" t="str">
        <x:v>learning-based</x:v>
      </x:c>
      <x:c r="W26" s="27" t="str">
        <x:v>safety</x:v>
      </x:c>
      <x:c r="X26" s="27" t="str">
        <x:v>路径/任务相邻研究；原分类=学习型；动/未报</x:v>
      </x:c>
      <x:c r="Y26" s="27" t="str">
        <x:v>交通信号状态与AGV时序路径特征</x:v>
      </x:c>
      <x:c r="Z26" s="27" t="str">
        <x:v>LS-A3C控制信号；Bi-LSTM-CBAM预测/规划路径并推进仿真</x:v>
      </x:c>
      <x:c r="AA26" s="27" t="str">
        <x:v>信号相位与路径协同降低冲突/拥堵</x:v>
      </x:c>
      <x:c r="AB26" s="27" t="str">
        <x:v>训练收敛/仿真结束</x:v>
      </x:c>
      <x:c r="AC26" s="27" t="str">
        <x:v>两模型分别训练后在SUMO/Gazebo协同闭环执行</x:v>
      </x:c>
      <x:c r="AD26" s="27" t="str">
        <x:v>两模型分别训练后在SUMO/Gazebo协同闭环执行</x:v>
      </x:c>
      <x:c r="AE26" s="27" t="str">
        <x:v>SUMO交通信号与Gazebo多AGV仿真</x:v>
      </x:c>
      <x:c r="AF26" s="27" t="str">
        <x:v>交通流与AGV路径任务</x:v>
      </x:c>
      <x:c r="AG26" s="27" t="str">
        <x:v>不适用</x:v>
      </x:c>
      <x:c r="AH26" s="27" t="str">
        <x:v>不适用</x:v>
      </x:c>
      <x:c r="AI26" s="27" t="str">
        <x:v>多AGV，数量见实验</x:v>
      </x:c>
      <x:c r="AJ26" s="27" t="str">
        <x:v>SUMO/Gazebo路网</x:v>
      </x:c>
      <x:c r="AK26" s="27" t="str">
        <x:v>仿真案例</x:v>
      </x:c>
      <x:c r="AL26" s="27" t="str">
        <x:v>A3C及无Bi-LSTM/CBAM等对照</x:v>
      </x:c>
      <x:c r="AM26" s="27" t="str">
        <x:v>训练参数见§3.1–3.2</x:v>
      </x:c>
      <x:c r="AN26" s="27" t="str">
        <x:v>训练参数见§3.1–3.2</x:v>
      </x:c>
      <x:c r="AO26" s="27" t="str">
        <x:v>未报告</x:v>
      </x:c>
      <x:c r="AP26" s="27" t="str">
        <x:v>未报告</x:v>
      </x:c>
      <x:c r="AQ26" s="27" t="str">
        <x:v>未报告</x:v>
      </x:c>
      <x:c r="AR26" s="27" t="str">
        <x:v>等待/通行效率、路径长度、冲突与训练奖励</x:v>
      </x:c>
      <x:c r="AS26" s="27" t="str">
        <x:v>原始Markdown与N2/N4派生证据可用</x:v>
      </x:c>
      <x:c r="AT26" s="27" t="str">
        <x:v>文内结论与范围见N2引用与证据状态表</x:v>
      </x:c>
      <x:c r="AU26" s="27" t="str">
        <x:v>直接：摘要；LS-A3C；Bi-LSTM-CBAM；SUMO/Gazebo；限制：随机模型未报告；SUMO/Gazebo仿真；交通、安全与计算指标</x:v>
      </x:c>
      <x:c r="AV26" s="27" t="str">
        <x:v>N5/N6深度抽取：B023 `2.1`、`2.2`、第3章；B023 第3章</x:v>
      </x:c>
      <x:c r="AW26" s="27" t="str">
        <x:v>随机性/事件生成机制不完整</x:v>
      </x:c>
      <x:c r="AX26" s="27" t="str">
        <x:v>深度抽取完成；原文未报告项已显式保留，不得补猜</x:v>
      </x:c>
      <x:c r="AY26" s="27" t="str">
        <x:v>direct evidence</x:v>
      </x:c>
      <x:c r="AZ26" s="27" t="str">
        <x:v>direct</x:v>
      </x:c>
      <x:c r="BA26" s="27" t="str">
        <x:v>Deep extraction complete</x:v>
      </x:c>
      <x:c r="BB26" s="27" t="str">
        <x:v>OK</x:v>
      </x:c>
    </x:row>
    <x:row r="27" ht="66" hidden="0" customHeight="1">
      <x:c r="A27" s="27" t="str">
        <x:v>L024-E01</x:v>
      </x:c>
      <x:c r="B27" s="27" t="str">
        <x:v>L024</x:v>
      </x:c>
      <x:c r="C27" s="27" t="str">
        <x:v>B024 `3.4 MA-TA-PPCOA算法流程`、`4.3`；B024 表2–3、`5.1`–`5.2`</x:v>
      </x:c>
      <x:c r="D27" s="27" t="str">
        <x:v>Original-source verified</x:v>
      </x:c>
      <x:c r="E27" s="27" t="str">
        <x:v>仓储；动/未报</x:v>
      </x:c>
      <x:c r="F27" s="27" t="str">
        <x:v>warehouse</x:v>
      </x:c>
      <x:c r="G27" s="27" t="str">
        <x:v>combination</x:v>
      </x:c>
      <x:c r="H27" s="27" t="str">
        <x:v>周期任务；AGV；路网</x:v>
      </x:c>
      <x:c r="I27" s="27" t="str">
        <x:v>车辆/任务分配；路径规划；冲突控制</x:v>
      </x:c>
      <x:c r="J27" s="27" t="str">
        <x:v>效率；安全；计算成本</x:v>
      </x:c>
      <x:c r="K27" s="27" t="str">
        <x:v>有限路网；AGV时变状态；无碰撞；秒级决策</x:v>
      </x:c>
      <x:c r="L27" s="27" t="str">
        <x:v>见原文；未显式报告者不补猜</x:v>
      </x:c>
      <x:c r="M27" s="27" t="str">
        <x:v>other</x:v>
      </x:c>
      <x:c r="N27" s="27" t="str">
        <x:v>online</x:v>
      </x:c>
      <x:c r="O27" s="27" t="str">
        <x:v>新任务/周期到达；碰撞风险</x:v>
      </x:c>
      <x:c r="P27" s="27" t="str">
        <x:v>新任务/周期到达；碰撞风险</x:v>
      </x:c>
      <x:c r="Q27" s="27" t="str">
        <x:v>动/未报</x:v>
      </x:c>
      <x:c r="R27" s="27" t="str">
        <x:v>not reported</x:v>
      </x:c>
      <x:c r="S27" s="27" t="str">
        <x:v>周期任务；AGV；路网</x:v>
      </x:c>
      <x:c r="T27" s="27" t="str">
        <x:v>见动态处理/恢复决策字段</x:v>
      </x:c>
      <x:c r="U27" s="27" t="str">
        <x:v>joint</x:v>
      </x:c>
      <x:c r="V27" s="27" t="str">
        <x:v>hybrid</x:v>
      </x:c>
      <x:c r="W27" s="27" t="str">
        <x:v>safety</x:v>
      </x:c>
      <x:c r="X27" s="27" t="str">
        <x:v>路径/任务相邻研究；原分类=混合；动/未报</x:v>
      </x:c>
      <x:c r="Y27" s="27" t="str">
        <x:v>任务、AGV、栅格时空路径变量</x:v>
      </x:c>
      <x:c r="Z27" s="27" t="str">
        <x:v>双重优先规则指派；五策略改进A*逐车规划三阶段路径</x:v>
      </x:c>
      <x:c r="AA27" s="27" t="str">
        <x:v>节点/边冲突检测，等待/重调度后重新规划</x:v>
      </x:c>
      <x:c r="AB27" s="27" t="str">
        <x:v>所有AGV路径完成；精确法按时限</x:v>
      </x:c>
      <x:c r="AC27" s="27" t="str">
        <x:v>指派→按优先级逐车A*→冲突处理→返回停靠区；Branch-and-cut仅作小规模下界</x:v>
      </x:c>
      <x:c r="AD27" s="27" t="str">
        <x:v>指派→按优先级逐车A*→冲突处理→返回停靠区；Branch-and-cut仅作小规模下界</x:v>
      </x:c>
      <x:c r="AE27" s="27" t="str">
        <x:v>12组小规模；144组大规模；5×5至60×60，AGV按规模变化</x:v>
      </x:c>
      <x:c r="AF27" s="27" t="str">
        <x:v>任务数随实例变化</x:v>
      </x:c>
      <x:c r="AG27" s="27" t="str">
        <x:v>不适用</x:v>
      </x:c>
      <x:c r="AH27" s="27" t="str">
        <x:v>不适用</x:v>
      </x:c>
      <x:c r="AI27" s="27" t="str">
        <x:v>随实例变化</x:v>
      </x:c>
      <x:c r="AJ27" s="27" t="str">
        <x:v>5×5至60×60双向栅格</x:v>
      </x:c>
      <x:c r="AK27" s="27" t="str">
        <x:v>12小规模+144大规模</x:v>
      </x:c>
      <x:c r="AL27" s="27" t="str">
        <x:v>CPLEX、Branch-and-cut、传统A*及五策略消融</x:v>
      </x:c>
      <x:c r="AM27" s="27" t="str">
        <x:v>精确法1800/3600/5400秒；启发式要求秒级</x:v>
      </x:c>
      <x:c r="AN27" s="27" t="str">
        <x:v>精确法1800/3600/5400秒；启发式要求秒级</x:v>
      </x:c>
      <x:c r="AO27" s="27" t="str">
        <x:v>每组合3例</x:v>
      </x:c>
      <x:c r="AP27" s="27" t="str">
        <x:v>未报告</x:v>
      </x:c>
      <x:c r="AQ27" s="27" t="str">
        <x:v>未报告</x:v>
      </x:c>
      <x:c r="AR27" s="27" t="str">
        <x:v>下界提升、Gap、Obj、求解时间、相对改善</x:v>
      </x:c>
      <x:c r="AS27" s="27" t="str">
        <x:v>原始Markdown与N2/N4派生证据可用</x:v>
      </x:c>
      <x:c r="AT27" s="27" t="str">
        <x:v>文内结论与范围见N2引用与证据状态表</x:v>
      </x:c>
      <x:c r="AU27" s="27" t="str">
        <x:v>直接：引言“多周期循环任务指派和全局无碰撞路径规划”“下一周期”；限制：随机模型未报告；12组及96组实验；下界/gap和秒级决策</x:v>
      </x:c>
      <x:c r="AV27" s="27" t="str">
        <x:v>N5/N6深度抽取：B024 `3.4 MA-TA-PPCOA算法流程`、`4.3`；B024 表2–3、`5.1`–`5.2`</x:v>
      </x:c>
      <x:c r="AW27" s="27" t="str">
        <x:v>随机性/事件生成机制不完整</x:v>
      </x:c>
      <x:c r="AX27" s="27" t="str">
        <x:v>深度抽取完成；原文未报告项已显式保留，不得补猜</x:v>
      </x:c>
      <x:c r="AY27" s="27" t="str">
        <x:v>direct evidence</x:v>
      </x:c>
      <x:c r="AZ27" s="27" t="str">
        <x:v>direct</x:v>
      </x:c>
      <x:c r="BA27" s="27" t="str">
        <x:v>Deep extraction complete</x:v>
      </x:c>
      <x:c r="BB27" s="27" t="str">
        <x:v>OK</x:v>
      </x:c>
    </x:row>
    <x:row r="28" ht="52.79999923706055" hidden="0" customHeight="1">
      <x:c r="A28" s="27" t="str">
        <x:v>L025-E01</x:v>
      </x:c>
      <x:c r="B28" s="27" t="str">
        <x:v>L025</x:v>
      </x:c>
      <x:c r="C28" s="27" t="str">
        <x:v>B025 `3.1.1 Encoding and decoding`、`3.2 AGV path search algorithm`；B025 实验章节、Conclusion</x:v>
      </x:c>
      <x:c r="D28" s="27" t="str">
        <x:v>Verified</x:v>
      </x:c>
      <x:c r="E28" s="27" t="str">
        <x:v>生产车间；静/确</x:v>
      </x:c>
      <x:c r="F28" s="27" t="str">
        <x:v>workshop</x:v>
      </x:c>
      <x:c r="G28" s="27" t="str">
        <x:v>combination</x:v>
      </x:c>
      <x:c r="H28" s="27" t="str">
        <x:v>工件；机器；AGV；路网</x:v>
      </x:c>
      <x:c r="I28" s="27" t="str">
        <x:v>工序排序；车辆/任务分配；路径规划；冲突控制</x:v>
      </x:c>
      <x:c r="J28" s="27" t="str">
        <x:v>效率；安全</x:v>
      </x:c>
      <x:c r="K28" s="27" t="str">
        <x:v>双向单路径；拓扑图；机器/工件/AGV约束</x:v>
      </x:c>
      <x:c r="L28" s="27" t="str">
        <x:v>见原文；未显式报告者不补猜</x:v>
      </x:c>
      <x:c r="M28" s="27" t="str">
        <x:v>static deterministic</x:v>
      </x:c>
      <x:c r="N28" s="27" t="str">
        <x:v>offline</x:v>
      </x:c>
      <x:c r="O28" s="27" t="str">
        <x:v>路径冲突风险</x:v>
      </x:c>
      <x:c r="P28" s="27" t="str">
        <x:v>路径冲突风险</x:v>
      </x:c>
      <x:c r="Q28" s="27" t="str">
        <x:v>静/确</x:v>
      </x:c>
      <x:c r="R28" s="27" t="str">
        <x:v>not reported</x:v>
      </x:c>
      <x:c r="S28" s="27" t="str">
        <x:v>工件；机器；AGV；路网</x:v>
      </x:c>
      <x:c r="T28" s="27" t="str">
        <x:v>见动态处理/恢复决策字段</x:v>
      </x:c>
      <x:c r="U28" s="27" t="str">
        <x:v>hierarchical</x:v>
      </x:c>
      <x:c r="V28" s="27" t="str">
        <x:v>hybrid</x:v>
      </x:c>
      <x:c r="W28" s="27" t="str">
        <x:v>safety</x:v>
      </x:c>
      <x:c r="X28" s="27" t="str">
        <x:v>核心车间原始研究；原分类=混合；静/确</x:v>
      </x:c>
      <x:c r="Y28" s="27" t="str">
        <x:v>双资源工序序列/机器与AGV分配</x:v>
      </x:c>
      <x:c r="Z28" s="27" t="str">
        <x:v>解码生成机器加工与AGV运输，A*搜索运输路径</x:v>
      </x:c>
      <x:c r="AA28" s="27" t="str">
        <x:v>竞争分配与A*规避资源/路径冲突</x:v>
      </x:c>
      <x:c r="AB28" s="27" t="str">
        <x:v>达到停止预算</x:v>
      </x:c>
      <x:c r="AC28" s="27" t="str">
        <x:v>NSGA-II非支配进化；竞争分配与A*嵌入个体解码评价</x:v>
      </x:c>
      <x:c r="AD28" s="27" t="str">
        <x:v>NSGA-II非支配进化；竞争分配与A*嵌入个体解码评价</x:v>
      </x:c>
      <x:c r="AE28" s="27" t="str">
        <x:v>智能制造车间双资源标准算例</x:v>
      </x:c>
      <x:c r="AF28" s="27" t="str">
        <x:v>标准双资源算例</x:v>
      </x:c>
      <x:c r="AG28" s="27" t="str">
        <x:v>见算例</x:v>
      </x:c>
      <x:c r="AH28" s="27" t="str">
        <x:v>见算例</x:v>
      </x:c>
      <x:c r="AI28" s="27" t="str">
        <x:v>见算例</x:v>
      </x:c>
      <x:c r="AJ28" s="27" t="str">
        <x:v>智能制造车间+A*路网</x:v>
      </x:c>
      <x:c r="AK28" s="27" t="str">
        <x:v>标准实例</x:v>
      </x:c>
      <x:c r="AL28" s="27" t="str">
        <x:v>NSGA-II/GA类及竞争分配、A*组件对照</x:v>
      </x:c>
      <x:c r="AM28" s="27" t="str">
        <x:v>参数和停止见实验章节；当前文本未完整报告重复口径</x:v>
      </x:c>
      <x:c r="AN28" s="27" t="str">
        <x:v>参数和停止见实验章节；当前文本未完整报告重复口径</x:v>
      </x:c>
      <x:c r="AO28" s="27" t="str">
        <x:v>未报告</x:v>
      </x:c>
      <x:c r="AP28" s="27" t="str">
        <x:v>未报告</x:v>
      </x:c>
      <x:c r="AQ28" s="27" t="str">
        <x:v>未报告</x:v>
      </x:c>
      <x:c r="AR28" s="27" t="str">
        <x:v>makespan、AGV运行/路径及多目标解质量</x:v>
      </x:c>
      <x:c r="AS28" s="27" t="str">
        <x:v>原始Markdown与N2/N4派生证据可用</x:v>
      </x:c>
      <x:c r="AT28" s="27" t="str">
        <x:v>文内结论与范围见N2引用与证据状态表</x:v>
      </x:c>
      <x:c r="AU28" s="27" t="str">
        <x:v>直接：Abstract；NSGA-II→竞争分配→A→冲突消解调用链；文内算例；可行方案与效率，跨论文只作定性比较</x:v>
      </x:c>
      <x:c r="AV28" s="27" t="str">
        <x:v>N5/N6深度抽取：B025 `3.1.1 Encoding and decoding`、`3.2 AGV path search algorithm`；B025 实验章节、Conclusion</x:v>
      </x:c>
      <x:c r="AW28" s="27" t="str">
        <x:v>跨论文性能不可直接比较</x:v>
      </x:c>
      <x:c r="AX28" s="27" t="str">
        <x:v>深度抽取完成；原文未报告项已显式保留，不得补猜</x:v>
      </x:c>
      <x:c r="AY28" s="27" t="str">
        <x:v>direct evidence</x:v>
      </x:c>
      <x:c r="AZ28" s="27" t="str">
        <x:v>direct</x:v>
      </x:c>
      <x:c r="BA28" s="27" t="str">
        <x:v>Deep extraction complete</x:v>
      </x:c>
      <x:c r="BB28" s="27" t="str">
        <x:v>OK</x:v>
      </x:c>
    </x:row>
    <x:row r="29" ht="52.79999923706055" hidden="0" customHeight="1">
      <x:c r="A29" s="27" t="str">
        <x:v>L026-E01</x:v>
      </x:c>
      <x:c r="B29" s="27" t="str">
        <x:v>L026</x:v>
      </x:c>
      <x:c r="C29" s="27" t="str">
        <x:v>B026 `2 启发式遗传算法`、`2.1编码`；B026 `3.1`–`3.2`</x:v>
      </x:c>
      <x:c r="D29" s="27" t="str">
        <x:v>Original-source verified</x:v>
      </x:c>
      <x:c r="E29" s="27" t="str">
        <x:v>自动化码头；静/确</x:v>
      </x:c>
      <x:c r="F29" s="27" t="str">
        <x:v>terminal</x:v>
      </x:c>
      <x:c r="G29" s="27" t="str">
        <x:v>combination</x:v>
      </x:c>
      <x:c r="H29" s="27" t="str">
        <x:v>集装箱任务；AGV；场桥</x:v>
      </x:c>
      <x:c r="I29" s="27" t="str">
        <x:v>运输排序；车辆/任务分配</x:v>
      </x:c>
      <x:c r="J29" s="27" t="str">
        <x:v>效率；计算成本</x:v>
      </x:c>
      <x:c r="K29" s="27" t="str">
        <x:v>双循环作业；AGV数量；场桥可用时间；任务量</x:v>
      </x:c>
      <x:c r="L29" s="27" t="str">
        <x:v>见原文；未显式报告者不补猜</x:v>
      </x:c>
      <x:c r="M29" s="27" t="str">
        <x:v>static deterministic</x:v>
      </x:c>
      <x:c r="N29" s="27" t="str">
        <x:v>offline</x:v>
      </x:c>
      <x:c r="O29" s="27" t="str">
        <x:v>无事件</x:v>
      </x:c>
      <x:c r="P29" s="27" t="str">
        <x:v>无事件</x:v>
      </x:c>
      <x:c r="Q29" s="27" t="str">
        <x:v>静/确</x:v>
      </x:c>
      <x:c r="R29" s="27" t="str">
        <x:v>not reported</x:v>
      </x:c>
      <x:c r="S29" s="27" t="str">
        <x:v>集装箱任务；AGV；场桥</x:v>
      </x:c>
      <x:c r="T29" s="27" t="str">
        <x:v>见动态处理/恢复决策字段</x:v>
      </x:c>
      <x:c r="U29" s="27" t="str">
        <x:v>joint</x:v>
      </x:c>
      <x:c r="V29" s="27" t="str">
        <x:v>hybrid</x:v>
      </x:c>
      <x:c r="W29" s="27" t="str">
        <x:v>computational cost</x:v>
      </x:c>
      <x:c r="X29" s="27" t="str">
        <x:v>路径/任务相邻研究；原分类=混合；静/确</x:v>
      </x:c>
      <x:c r="Y29" s="27" t="str">
        <x:v>双循环码头任务—AGV—场桥分配序列</x:v>
      </x:c>
      <x:c r="Z29" s="27" t="str">
        <x:v>EAT规则按最早可用时间派工并生成集成计划</x:v>
      </x:c>
      <x:c r="AA29" s="27" t="str">
        <x:v>资源占用约束避免重复分配</x:v>
      </x:c>
      <x:c r="AB29" s="27" t="str">
        <x:v>最大迭代</x:v>
      </x:c>
      <x:c r="AC29" s="27" t="str">
        <x:v>启发式GA进化，EAT规则嵌入解码/派工</x:v>
      </x:c>
      <x:c r="AD29" s="27" t="str">
        <x:v>启发式GA进化，EAT规则嵌入解码/派工</x:v>
      </x:c>
      <x:c r="AE29" s="27" t="str">
        <x:v>自动化码头双循环AGV–场桥数值算例</x:v>
      </x:c>
      <x:c r="AF29" s="27" t="str">
        <x:v>码头装卸任务</x:v>
      </x:c>
      <x:c r="AG29" s="27" t="str">
        <x:v>不适用</x:v>
      </x:c>
      <x:c r="AH29" s="27" t="str">
        <x:v>场桥</x:v>
      </x:c>
      <x:c r="AI29" s="27" t="str">
        <x:v>双循环AGV，数量见算例</x:v>
      </x:c>
      <x:c r="AJ29" s="27" t="str">
        <x:v>自动化码头双循环</x:v>
      </x:c>
      <x:c r="AK29" s="27" t="str">
        <x:v>数值案例</x:v>
      </x:c>
      <x:c r="AL29" s="27" t="str">
        <x:v>EAT与SP规则</x:v>
      </x:c>
      <x:c r="AM29" s="27" t="str">
        <x:v>GA参数见§3.1；最大迭代停止</x:v>
      </x:c>
      <x:c r="AN29" s="27" t="str">
        <x:v>GA参数见§3.1；最大迭代停止</x:v>
      </x:c>
      <x:c r="AO29" s="27" t="str">
        <x:v>未报告</x:v>
      </x:c>
      <x:c r="AP29" s="27" t="str">
        <x:v>未报告</x:v>
      </x:c>
      <x:c r="AQ29" s="27" t="str">
        <x:v>未报告</x:v>
      </x:c>
      <x:c r="AR29" s="27" t="str">
        <x:v>完工/作业时间、mean/min/std、CPU时间</x:v>
      </x:c>
      <x:c r="AS29" s="27" t="str">
        <x:v>原始Markdown与N2/N4派生证据可用</x:v>
      </x:c>
      <x:c r="AT29" s="27" t="str">
        <x:v>文内结论与范围见N2引用与证据状态表</x:v>
      </x:c>
      <x:c r="AU29" s="27" t="str">
        <x:v>直接：Abstract；EAT/SP规则；AGV与场桥集成调度；数值实验；数值实验；均值、最小值、标准差和求解时间</x:v>
      </x:c>
      <x:c r="AV29" s="27" t="str">
        <x:v>N5/N6深度抽取：B026 `2 启发式遗传算法`、`2.1编码`；B026 `3.1`–`3.2`</x:v>
      </x:c>
      <x:c r="AW29" s="27" t="str">
        <x:v>跨论文性能不可直接比较</x:v>
      </x:c>
      <x:c r="AX29" s="27" t="str">
        <x:v>深度抽取完成；原文未报告项已显式保留，不得补猜</x:v>
      </x:c>
      <x:c r="AY29" s="27" t="str">
        <x:v>direct evidence</x:v>
      </x:c>
      <x:c r="AZ29" s="27" t="str">
        <x:v>direct</x:v>
      </x:c>
      <x:c r="BA29" s="27" t="str">
        <x:v>Deep extraction complete</x:v>
      </x:c>
      <x:c r="BB29" s="27" t="str">
        <x:v>OK</x:v>
      </x:c>
    </x:row>
    <x:row r="30" ht="132" hidden="0" customHeight="1">
      <x:c r="A30" s="27" t="str">
        <x:v>L027-E01</x:v>
      </x:c>
      <x:c r="B30" s="27" t="str">
        <x:v>L027</x:v>
      </x:c>
      <x:c r="C30" s="27" t="str">
        <x:v>B027 `MachineRank algorithm`、Algorithms 1–2；B027 `Results and discussion`</x:v>
      </x:c>
      <x:c r="D30" s="27" t="str">
        <x:v>Verified</x:v>
      </x:c>
      <x:c r="E30" s="27" t="str">
        <x:v>生产车间；动/随</x:v>
      </x:c>
      <x:c r="F30" s="27" t="str">
        <x:v>workshop</x:v>
      </x:c>
      <x:c r="G30" s="27" t="str">
        <x:v>combination</x:v>
      </x:c>
      <x:c r="H30" s="27" t="str">
        <x:v>工件；机器；AGV</x:v>
      </x:c>
      <x:c r="I30" s="27" t="str">
        <x:v>工序排序；机器分配；恢复决策</x:v>
      </x:c>
      <x:c r="J30" s="27" t="str">
        <x:v>效率；鲁棒性；多目标组合</x:v>
      </x:c>
      <x:c r="K30" s="27" t="str">
        <x:v>工序优先；机器可选/占用；AGV可用/配置状态；运输时间；事件触发</x:v>
      </x:c>
      <x:c r="L30" s="27" t="str">
        <x:v>见原文；未显式报告者不补猜</x:v>
      </x:c>
      <x:c r="M30" s="27" t="str">
        <x:v>dynamic stochastic</x:v>
      </x:c>
      <x:c r="N30" s="27" t="str">
        <x:v>online</x:v>
      </x:c>
      <x:c r="O30" s="27" t="str">
        <x:v>机器故障；新订单；加工时间变化</x:v>
      </x:c>
      <x:c r="P30" s="27" t="str">
        <x:v>机器故障；新订单；加工时间变化</x:v>
      </x:c>
      <x:c r="Q30" s="27" t="str">
        <x:v>动/随</x:v>
      </x:c>
      <x:c r="R30" s="27" t="str">
        <x:v>not reported</x:v>
      </x:c>
      <x:c r="S30" s="27" t="str">
        <x:v>工件；机器；AGV</x:v>
      </x:c>
      <x:c r="T30" s="27" t="str">
        <x:v>见动态处理/恢复决策字段</x:v>
      </x:c>
      <x:c r="U30" s="27" t="str">
        <x:v>unclear</x:v>
      </x:c>
      <x:c r="V30" s="27" t="str">
        <x:v>hybrid</x:v>
      </x:c>
      <x:c r="W30" s="27" t="str">
        <x:v>multi-objective combination</x:v>
      </x:c>
      <x:c r="X30" s="27" t="str">
        <x:v>核心车间原始研究；原分类=混合；动/随</x:v>
      </x:c>
      <x:c r="Y30" s="27" t="str">
        <x:v>机器排序分数、车间状态与7个复合规则动作</x:v>
      </x:c>
      <x:c r="Z30" s="27" t="str">
        <x:v>MachineRank生成候选机器优先级，D3QN选规则后推进环境</x:v>
      </x:c>
      <x:c r="AA30" s="27" t="str">
        <x:v>动作规则保证可执行工序；故障时更新可用机器状态</x:v>
      </x:c>
      <x:c r="AB30" s="27" t="str">
        <x:v>所有工件完成/训练回合结束</x:v>
      </x:c>
      <x:c r="AC30" s="27" t="str">
        <x:v>MachineRank预处理/排序→D3QN选复合规则→奖励更新网络</x:v>
      </x:c>
      <x:c r="AD30" s="27" t="str">
        <x:v>MachineRank预处理/排序→D3QN选复合规则→奖励更新网络</x:v>
      </x:c>
      <x:c r="AE30" s="27" t="str">
        <x:v>动态FJSP数值实验，多扰动配置</x:v>
      </x:c>
      <x:c r="AF30" s="27" t="str">
        <x:v>动态FJSP任务</x:v>
      </x:c>
      <x:c r="AG30" s="27" t="str">
        <x:v>见实验</x:v>
      </x:c>
      <x:c r="AH30" s="27" t="str">
        <x:v>见实验</x:v>
      </x:c>
      <x:c r="AI30" s="27" t="str">
        <x:v>不适用/未报告</x:v>
      </x:c>
      <x:c r="AJ30" s="27" t="str">
        <x:v>柔性车间</x:v>
      </x:c>
      <x:c r="AK30" s="27" t="str">
        <x:v>多扰动配置</x:v>
      </x:c>
      <x:c r="AL30" s="27" t="str">
        <x:v>7个复合规则、MachineRank/D3QN消融及调度规则基线</x:v>
      </x:c>
      <x:c r="AM30" s="27" t="str">
        <x:v>训练预算与超参数见Numerical experiments</x:v>
      </x:c>
      <x:c r="AN30" s="27" t="str">
        <x:v>训练预算与超参数见Numerical experiments</x:v>
      </x:c>
      <x:c r="AO30" s="27" t="str">
        <x:v>未报告</x:v>
      </x:c>
      <x:c r="AP30" s="27" t="str">
        <x:v>未报告</x:v>
      </x:c>
      <x:c r="AQ30" s="27" t="str">
        <x:v>未报告</x:v>
      </x:c>
      <x:c r="AR30" s="27" t="str">
        <x:v>makespan、拖期/利用率、奖励与收敛</x:v>
      </x:c>
      <x:c r="AS30" s="27" t="str">
        <x:v>原始Markdown与N2/N4派生证据可用</x:v>
      </x:c>
      <x:c r="AT30" s="27" t="str">
        <x:v>文内结论与范围见N2引用与证据状态表</x:v>
      </x:c>
      <x:c r="AU30" s="27" t="str">
        <x:v>直接：Abstract；`AGV scheduling`；决策变量 `M_agv`；新订单和工时变化服从概率分布；限制：动作规则明确选择工序/机器，但是否独立分配AGV不清楚；多扰动数值实验；规则和基线对比；概率生成见原文</x:v>
      </x:c>
      <x:c r="AV30" s="27" t="str">
        <x:v>N5/N6深度抽取：B027 `MachineRank algorithm`、Algorithms 1–2；B027 `Results and discussion`</x:v>
      </x:c>
      <x:c r="AW30" s="27" t="str">
        <x:v>跨论文性能不可直接比较</x:v>
      </x:c>
      <x:c r="AX30" s="27" t="str">
        <x:v>深度抽取完成；原文未报告项已显式保留，不得补猜</x:v>
      </x:c>
      <x:c r="AY30" s="27" t="str">
        <x:v>direct evidence</x:v>
      </x:c>
      <x:c r="AZ30" s="27" t="str">
        <x:v>direct</x:v>
      </x:c>
      <x:c r="BA30" s="27" t="str">
        <x:v>Deep extraction complete</x:v>
      </x:c>
      <x:c r="BB30" s="27" t="str">
        <x:v>OK</x:v>
      </x:c>
    </x:row>
    <x:row r="31" ht="79.19999694824219" hidden="0" customHeight="1">
      <x:c r="A31" s="27" t="str">
        <x:v>L028-E01</x:v>
      </x:c>
      <x:c r="B31" s="27" t="str">
        <x:v>L028</x:v>
      </x:c>
      <x:c r="C31" s="27" t="str">
        <x:v>B028 `3.1 Encoding and Decoding`、`3.3 Memetic Algorithm`；B028 `4.1`–`4.3`</x:v>
      </x:c>
      <x:c r="D31" s="27" t="str">
        <x:v>Verified</x:v>
      </x:c>
      <x:c r="E31" s="27" t="str">
        <x:v>生产车间；动/确</x:v>
      </x:c>
      <x:c r="F31" s="27" t="str">
        <x:v>workshop</x:v>
      </x:c>
      <x:c r="G31" s="27" t="str">
        <x:v>combination</x:v>
      </x:c>
      <x:c r="H31" s="27" t="str">
        <x:v>工件；机器；运输机器人；能源</x:v>
      </x:c>
      <x:c r="I31" s="27" t="str">
        <x:v>工序排序；机器分配；车辆/任务分配；充电决策；恢复决策</x:v>
      </x:c>
      <x:c r="J31" s="27" t="str">
        <x:v>效率；稳定性；多目标组合</x:v>
      </x:c>
      <x:c r="K31" s="27" t="str">
        <x:v>工序优先；机器/机器人不可用；状态继承；电池/充电</x:v>
      </x:c>
      <x:c r="L31" s="27" t="str">
        <x:v>见原文；未显式报告者不补猜</x:v>
      </x:c>
      <x:c r="M31" s="27" t="str">
        <x:v>dynamic deterministic</x:v>
      </x:c>
      <x:c r="N31" s="27" t="str">
        <x:v>online</x:v>
      </x:c>
      <x:c r="O31" s="27" t="str">
        <x:v>机器故障；AGV/机器人故障；新订单；充电维护</x:v>
      </x:c>
      <x:c r="P31" s="27" t="str">
        <x:v>机器故障；AGV/机器人故障；新订单；充电维护</x:v>
      </x:c>
      <x:c r="Q31" s="27" t="str">
        <x:v>动/确</x:v>
      </x:c>
      <x:c r="R31" s="27" t="str">
        <x:v>not reported</x:v>
      </x:c>
      <x:c r="S31" s="27" t="str">
        <x:v>工件；机器；运输机器人；能源</x:v>
      </x:c>
      <x:c r="T31" s="27" t="str">
        <x:v>见动态处理/恢复决策字段</x:v>
      </x:c>
      <x:c r="U31" s="27" t="str">
        <x:v>joint</x:v>
      </x:c>
      <x:c r="V31" s="27" t="str">
        <x:v>hybrid</x:v>
      </x:c>
      <x:c r="W31" s="27" t="str">
        <x:v>multi-objective combination</x:v>
      </x:c>
      <x:c r="X31" s="27" t="str">
        <x:v>核心车间原始研究；原分类=混合；动/确</x:v>
      </x:c>
      <x:c r="Y31" s="27" t="str">
        <x:v>OS–MS–机器人三段编码</x:v>
      </x:c>
      <x:c r="Z31" s="27" t="str">
        <x:v>顺序解码机器加工与运输机器人任务</x:v>
      </x:c>
      <x:c r="AA31" s="27" t="str">
        <x:v>VNS邻域与事件处理保持工序/资源可行；故障资源不可用</x:v>
      </x:c>
      <x:c r="AB31" s="27" t="str">
        <x:v>最大代数；各重调度窗口结束</x:v>
      </x:c>
      <x:c r="AC31" s="27" t="str">
        <x:v>GA生成子代后嵌入VNS；机器/机器人故障、插单、充电事件触发连续重调度</x:v>
      </x:c>
      <x:c r="AD31" s="27" t="str">
        <x:v>GA生成子代后嵌入VNS；机器/机器人故障、插单、充电事件触发连续重调度</x:v>
      </x:c>
      <x:c r="AE31" s="27" t="str">
        <x:v>EMK动态联合算例；机器/机器人故障、插单、充电及连续多次重调度</x:v>
      </x:c>
      <x:c r="AF31" s="27" t="str">
        <x:v>EMK动态任务</x:v>
      </x:c>
      <x:c r="AG31" s="27" t="str">
        <x:v>见EMK实例</x:v>
      </x:c>
      <x:c r="AH31" s="27" t="str">
        <x:v>见EMK实例</x:v>
      </x:c>
      <x:c r="AI31" s="27" t="str">
        <x:v>运输机器人数量见实例</x:v>
      </x:c>
      <x:c r="AJ31" s="27" t="str">
        <x:v>EMK运输矩阵</x:v>
      </x:c>
      <x:c r="AK31" s="27" t="str">
        <x:v>多动态事件</x:v>
      </x:c>
      <x:c r="AL31" s="27" t="str">
        <x:v>GA、VNS/模因消融及重调度策略</x:v>
      </x:c>
      <x:c r="AM31" s="27" t="str">
        <x:v>参数见§4.1；代数/重调度窗口停止</x:v>
      </x:c>
      <x:c r="AN31" s="27" t="str">
        <x:v>参数见§4.1；代数/重调度窗口停止</x:v>
      </x:c>
      <x:c r="AO31" s="27" t="str">
        <x:v>未报告</x:v>
      </x:c>
      <x:c r="AP31" s="27" t="str">
        <x:v>未报告</x:v>
      </x:c>
      <x:c r="AQ31" s="27" t="str">
        <x:v>未报告</x:v>
      </x:c>
      <x:c r="AR31" s="27" t="str">
        <x:v>makespan、重调度表现与稳定性</x:v>
      </x:c>
      <x:c r="AS31" s="27" t="str">
        <x:v>原始Markdown与N2/N4派生证据可用</x:v>
      </x:c>
      <x:c r="AT31" s="27" t="str">
        <x:v>文内结论与范围见N2引用与证据状态表</x:v>
      </x:c>
      <x:c r="AU31" s="27" t="str">
        <x:v>直接：Keywords；Introduction；`successive multiple rescheduling`；GA+VNS；限制：未见同时事件模型；EMK等算例；机器/机器人故障、插单和充电的连续重调度</x:v>
      </x:c>
      <x:c r="AV31" s="27" t="str">
        <x:v>N5/N6深度抽取：B028 `3.1 Encoding and Decoding`、`3.3 Memetic Algorithm`；B028 `4.1`–`4.3`</x:v>
      </x:c>
      <x:c r="AW31" s="27" t="str">
        <x:v>跨论文性能不可直接比较</x:v>
      </x:c>
      <x:c r="AX31" s="27" t="str">
        <x:v>深度抽取完成；原文未报告项已显式保留，不得补猜</x:v>
      </x:c>
      <x:c r="AY31" s="27" t="str">
        <x:v>direct evidence</x:v>
      </x:c>
      <x:c r="AZ31" s="27" t="str">
        <x:v>direct</x:v>
      </x:c>
      <x:c r="BA31" s="27" t="str">
        <x:v>Deep extraction complete</x:v>
      </x:c>
      <x:c r="BB31" s="27" t="str">
        <x:v>OK</x:v>
      </x:c>
    </x:row>
    <x:row r="32" ht="92.4000015258789" hidden="0" customHeight="1">
      <x:c r="A32" s="27" t="str">
        <x:v>L029-E01</x:v>
      </x:c>
      <x:c r="B32" s="27" t="str">
        <x:v>L029</x:v>
      </x:c>
      <x:c r="C32" s="27" t="str">
        <x:v>B029 `2 Genetic algorithm`、`3.2.2 Complete rescheduling`；B029 `4 Results and discussion`</x:v>
      </x:c>
      <x:c r="D32" s="27" t="str">
        <x:v>Verified</x:v>
      </x:c>
      <x:c r="E32" s="27" t="str">
        <x:v>生产车间；动/确</x:v>
      </x:c>
      <x:c r="F32" s="27" t="str">
        <x:v>workshop</x:v>
      </x:c>
      <x:c r="G32" s="27" t="str">
        <x:v>combination</x:v>
      </x:c>
      <x:c r="H32" s="27" t="str">
        <x:v>工件；机器</x:v>
      </x:c>
      <x:c r="I32" s="27" t="str">
        <x:v>工序排序；机器分配；恢复决策</x:v>
      </x:c>
      <x:c r="J32" s="27" t="str">
        <x:v>效率；稳定性</x:v>
      </x:c>
      <x:c r="K32" s="27" t="str">
        <x:v>工序优先；故障周期不可用；右移/完全重调度；稳定性</x:v>
      </x:c>
      <x:c r="L32" s="27" t="str">
        <x:v>见原文；未显式报告者不补猜</x:v>
      </x:c>
      <x:c r="M32" s="27" t="str">
        <x:v>dynamic deterministic</x:v>
      </x:c>
      <x:c r="N32" s="27" t="str">
        <x:v>online</x:v>
      </x:c>
      <x:c r="O32" s="27" t="str">
        <x:v>机器故障</x:v>
      </x:c>
      <x:c r="P32" s="27" t="str">
        <x:v>机器故障</x:v>
      </x:c>
      <x:c r="Q32" s="27" t="str">
        <x:v>动/确</x:v>
      </x:c>
      <x:c r="R32" s="27" t="str">
        <x:v>not reported</x:v>
      </x:c>
      <x:c r="S32" s="27" t="str">
        <x:v>工件；机器</x:v>
      </x:c>
      <x:c r="T32" s="27" t="str">
        <x:v>见动态处理/恢复决策字段</x:v>
      </x:c>
      <x:c r="U32" s="27" t="str">
        <x:v>unclear</x:v>
      </x:c>
      <x:c r="V32" s="27" t="str">
        <x:v>metaheuristic</x:v>
      </x:c>
      <x:c r="W32" s="27" t="str">
        <x:v>robustness</x:v>
      </x:c>
      <x:c r="X32" s="27" t="str">
        <x:v>动态机器相邻研究；原分类=元启发式；动/确</x:v>
      </x:c>
      <x:c r="Y32" s="27" t="str">
        <x:v>工序序列与机器分配染色体</x:v>
      </x:c>
      <x:c r="Z32" s="27" t="str">
        <x:v>解码初始FJSP及故障后的剩余工序</x:v>
      </x:c>
      <x:c r="AA32" s="27" t="str">
        <x:v>右移保持分配顺序；完全重调度对未开工部分重新编码求解</x:v>
      </x:c>
      <x:c r="AB32" s="27" t="str">
        <x:v>最大代数/重调度完成</x:v>
      </x:c>
      <x:c r="AC32" s="27" t="str">
        <x:v>GA求初始计划；机器故障后分别执行右移或完全重调度</x:v>
      </x:c>
      <x:c r="AD32" s="27" t="str">
        <x:v>GA求初始计划；机器故障后分别执行右移或完全重调度</x:v>
      </x:c>
      <x:c r="AE32" s="27" t="str">
        <x:v>Brandimarte mk系列机器故障重调度算例</x:v>
      </x:c>
      <x:c r="AF32" s="27" t="str">
        <x:v>Brandimarte mk系列</x:v>
      </x:c>
      <x:c r="AG32" s="27" t="str">
        <x:v>见mk实例</x:v>
      </x:c>
      <x:c r="AH32" s="27" t="str">
        <x:v>见mk实例</x:v>
      </x:c>
      <x:c r="AI32" s="27" t="str">
        <x:v>不适用</x:v>
      </x:c>
      <x:c r="AJ32" s="27" t="str">
        <x:v>柔性车间</x:v>
      </x:c>
      <x:c r="AK32" s="27" t="str">
        <x:v>多机器故障案例</x:v>
      </x:c>
      <x:c r="AL32" s="27" t="str">
        <x:v>右移与完全重调度</x:v>
      </x:c>
      <x:c r="AM32" s="27" t="str">
        <x:v>GA参数/停止见实验设置</x:v>
      </x:c>
      <x:c r="AN32" s="27" t="str">
        <x:v>GA参数/停止见实验设置</x:v>
      </x:c>
      <x:c r="AO32" s="27" t="str">
        <x:v>未报告</x:v>
      </x:c>
      <x:c r="AP32" s="27" t="str">
        <x:v>未报告</x:v>
      </x:c>
      <x:c r="AQ32" s="27" t="str">
        <x:v>未报告</x:v>
      </x:c>
      <x:c r="AR32" s="27" t="str">
        <x:v>makespan、平均延误率、求解时间</x:v>
      </x:c>
      <x:c r="AS32" s="27" t="str">
        <x:v>原始Markdown与N2/N4派生证据可用</x:v>
      </x:c>
      <x:c r="AT32" s="27" t="str">
        <x:v>文内结论与范围见N2引用与证据状态表</x:v>
      </x:c>
      <x:c r="AU32" s="27" t="str">
        <x:v>直接：Abstract；`machine failure interference`；right-shift/complete rescheduling；限制：不含AGV；机器故障算例；延误率；右移与完全重调度比较</x:v>
      </x:c>
      <x:c r="AV32" s="27" t="str">
        <x:v>N5/N6深度抽取：B029 `2 Genetic algorithm`、`3.2.2 Complete rescheduling`；B029 `4 Results and discussion`</x:v>
      </x:c>
      <x:c r="AW32" s="27" t="str">
        <x:v>跨论文性能不可直接比较</x:v>
      </x:c>
      <x:c r="AX32" s="27" t="str">
        <x:v>深度抽取完成；原文未报告项已显式保留，不得补猜</x:v>
      </x:c>
      <x:c r="AY32" s="27" t="str">
        <x:v>direct evidence</x:v>
      </x:c>
      <x:c r="AZ32" s="27" t="str">
        <x:v>direct</x:v>
      </x:c>
      <x:c r="BA32" s="27" t="str">
        <x:v>Deep extraction complete</x:v>
      </x:c>
      <x:c r="BB32" s="27" t="str">
        <x:v>OK</x:v>
      </x:c>
    </x:row>
  </x:sheetData>
  <x:mergeCells>
    <x:mergeCell ref="A1:BB1"/>
    <x:mergeCell ref="A2:BB2"/>
  </x:mergeCells>
  <x:dataValidations count="10">
    <x:dataValidation type="list" sqref="F4:F24">
      <x:formula1>"workshop,warehouse,terminal,transport,other,not reported,unclear"</x:formula1>
    </x:dataValidation>
    <x:dataValidation type="list" sqref="G4:G24">
      <x:formula1>"operation sequence,machine assignment,vehicle assignment,route,speed,charging,maintenance,combination,other,not reported,unclear"</x:formula1>
    </x:dataValidation>
    <x:dataValidation type="list" sqref="M4:M24">
      <x:formula1>"static deterministic,static stochastic,dynamic deterministic,dynamic stochastic,not reported,unclear"</x:formula1>
    </x:dataValidation>
    <x:dataValidation type="list" sqref="P4:P24">
      <x:formula1>"none,machine failure,new order,order cancellation,processing-time variation,vehicle failure,congestion,other,not reported,unclear"</x:formula1>
    </x:dataValidation>
    <x:dataValidation type="list" sqref="U4:U24">
      <x:formula1>"joint,iterative,hierarchical,sequential,not reported,unclear"</x:formula1>
    </x:dataValidation>
    <x:dataValidation type="list" sqref="V4:V24">
      <x:formula1>"exact,heuristic,metaheuristic,learning-based,hybrid,not reported,unclear"</x:formula1>
    </x:dataValidation>
    <x:dataValidation type="list" sqref="W4:W24">
      <x:formula1>"efficiency,stability,robustness,energy,safety,computational cost,multi-objective combination,not reported,unclear"</x:formula1>
    </x:dataValidation>
    <x:dataValidation type="list" sqref="AY4:AY24">
      <x:formula1>"author conclusion,secondary claim,direct evidence,AI inference,limitation,unresolved"</x:formula1>
    </x:dataValidation>
    <x:dataValidation type="list" sqref="AZ4:AZ24">
      <x:formula1>"direct,indirect,speculative,not assessed"</x:formula1>
    </x:dataValidation>
    <x:dataValidation type="list" sqref="BA4:BA24">
      <x:formula1>"Not started,In progress,Awaiting approval,Complete,Retired"</x:formula1>
    </x:dataValidation>
  </x:dataValidations>
  <x:pageMargins left="0.7" right="0.7" top="0.75" bottom="0.75" header="0.3" footer="0.3"/>
  <x:tableParts count="1">
    <x:tablePart xmlns:r="http://schemas.openxmlformats.org/officeDocument/2006/relationships" r:id="R4eec9a943ceb40b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6" hidden="0" customWidth="1"/>
    <x:col min="3" max="3" width="44" hidden="0" customWidth="1"/>
    <x:col min="4" max="4" width="20" hidden="0" customWidth="1"/>
    <x:col min="5" max="5" width="18" hidden="0" customWidth="1"/>
    <x:col min="6" max="6" width="36" hidden="0" customWidth="1"/>
    <x:col min="7" max="7" width="40" hidden="0" customWidth="1"/>
    <x:col min="8" max="8" width="17" hidden="0" customWidth="1"/>
    <x:col min="9" max="9" width="15" hidden="0" customWidth="1"/>
  </x:cols>
  <x:sheetData>
    <x:row r="1" ht="26" customHeight="1">
      <x:c r="A1" s="53" t="str">
        <x:v>Claim Map</x:v>
      </x:c>
      <x:c r="B1" s="54"/>
      <x:c r="C1" s="54"/>
      <x:c r="D1" s="54"/>
      <x:c r="E1" s="54"/>
      <x:c r="F1" s="54"/>
      <x:c r="G1" s="54"/>
      <x:c r="H1" s="54"/>
      <x:c r="I1" s="55"/>
    </x:row>
    <x:row r="2" ht="30" customHeight="1">
      <x:c r="A2" s="56" t="str">
        <x:v>Editable review matrix. Use controlled values where available; select other and fill the labelled taxonomy-extension detail only when needed.</x:v>
      </x:c>
      <x:c r="B2" s="57"/>
      <x:c r="C2" s="57"/>
      <x:c r="D2" s="57"/>
      <x:c r="E2" s="57"/>
      <x:c r="F2" s="57"/>
      <x:c r="G2" s="57"/>
      <x:c r="H2" s="57"/>
      <x:c r="I2" s="58"/>
    </x:row>
    <x:row r="3" ht="36" customHeight="1">
      <x:c r="A3" s="62" t="str">
        <x:v>Claim ID</x:v>
      </x:c>
      <x:c r="B3" s="63" t="str">
        <x:v>Evidence ID</x:v>
      </x:c>
      <x:c r="C3" s="63" t="str">
        <x:v>Claim text</x:v>
      </x:c>
      <x:c r="D3" s="63" t="str">
        <x:v>Evidence class</x:v>
      </x:c>
      <x:c r="E3" s="63" t="str">
        <x:v>Evidence strength</x:v>
      </x:c>
      <x:c r="F3" s="63" t="str">
        <x:v>Permitted wording</x:v>
      </x:c>
      <x:c r="G3" s="63" t="str">
        <x:v>Comparison / limitation</x:v>
      </x:c>
      <x:c r="H3" s="63" t="str">
        <x:v>Review status</x:v>
      </x:c>
      <x:c r="I3" s="64" t="str">
        <x:v>ID check</x:v>
      </x:c>
    </x:row>
    <x:row r="4">
      <x:c r="A4"/>
      <x:c r="B4"/>
      <x:c r="C4"/>
      <x:c r="D4"/>
      <x:c r="E4"/>
      <x:c r="F4"/>
      <x:c r="G4"/>
      <x:c r="H4"/>
      <x:c r="I4"/>
    </x:row>
    <x:row r="5">
      <x:c r="A5"/>
      <x:c r="B5"/>
      <x:c r="C5"/>
      <x:c r="D5"/>
      <x:c r="E5"/>
      <x:c r="F5"/>
      <x:c r="G5"/>
      <x:c r="H5"/>
      <x:c r="I5"/>
    </x:row>
    <x:row r="6">
      <x:c r="A6"/>
      <x:c r="B6"/>
      <x:c r="C6"/>
      <x:c r="D6"/>
      <x:c r="E6"/>
      <x:c r="F6"/>
      <x:c r="G6"/>
      <x:c r="H6"/>
      <x:c r="I6"/>
    </x:row>
    <x:row r="7">
      <x:c r="A7"/>
      <x:c r="B7"/>
      <x:c r="C7"/>
      <x:c r="D7"/>
      <x:c r="E7"/>
      <x:c r="F7"/>
      <x:c r="G7"/>
      <x:c r="H7"/>
      <x:c r="I7"/>
    </x:row>
    <x:row r="8">
      <x:c r="A8"/>
      <x:c r="B8"/>
      <x:c r="C8"/>
      <x:c r="D8"/>
      <x:c r="E8"/>
      <x:c r="F8"/>
      <x:c r="G8"/>
      <x:c r="H8"/>
      <x:c r="I8"/>
    </x:row>
    <x:row r="9">
      <x:c r="A9"/>
      <x:c r="B9"/>
      <x:c r="C9"/>
      <x:c r="D9"/>
      <x:c r="E9"/>
      <x:c r="F9"/>
      <x:c r="G9"/>
      <x:c r="H9"/>
      <x:c r="I9"/>
    </x:row>
    <x:row r="10">
      <x:c r="A10"/>
      <x:c r="B10"/>
      <x:c r="C10"/>
      <x:c r="D10"/>
      <x:c r="E10"/>
      <x:c r="F10"/>
      <x:c r="G10"/>
      <x:c r="H10"/>
      <x:c r="I10"/>
    </x:row>
    <x:row r="11">
      <x:c r="A11"/>
      <x:c r="B11"/>
      <x:c r="C11"/>
      <x:c r="D11"/>
      <x:c r="E11"/>
      <x:c r="F11"/>
      <x:c r="G11"/>
      <x:c r="H11"/>
      <x:c r="I11"/>
    </x:row>
    <x:row r="12">
      <x:c r="A12"/>
      <x:c r="B12"/>
      <x:c r="C12"/>
      <x:c r="D12"/>
      <x:c r="E12"/>
      <x:c r="F12"/>
      <x:c r="G12"/>
      <x:c r="H12"/>
      <x:c r="I12"/>
    </x:row>
    <x:row r="13">
      <x:c r="A13"/>
      <x:c r="B13"/>
      <x:c r="C13"/>
      <x:c r="D13"/>
      <x:c r="E13"/>
      <x:c r="F13"/>
      <x:c r="G13"/>
      <x:c r="H13"/>
      <x:c r="I13"/>
    </x:row>
    <x:row r="14">
      <x:c r="A14"/>
      <x:c r="B14"/>
      <x:c r="C14"/>
      <x:c r="D14"/>
      <x:c r="E14"/>
      <x:c r="F14"/>
      <x:c r="G14"/>
      <x:c r="H14"/>
      <x:c r="I14"/>
    </x:row>
    <x:row r="15">
      <x:c r="A15"/>
      <x:c r="B15"/>
      <x:c r="C15"/>
      <x:c r="D15"/>
      <x:c r="E15"/>
      <x:c r="F15"/>
      <x:c r="G15"/>
      <x:c r="H15"/>
      <x:c r="I15"/>
    </x:row>
    <x:row r="16">
      <x:c r="A16"/>
      <x:c r="B16"/>
      <x:c r="C16"/>
      <x:c r="D16"/>
      <x:c r="E16"/>
      <x:c r="F16"/>
      <x:c r="G16"/>
      <x:c r="H16"/>
      <x:c r="I16"/>
    </x:row>
    <x:row r="17">
      <x:c r="A17"/>
      <x:c r="B17"/>
      <x:c r="C17"/>
      <x:c r="D17"/>
      <x:c r="E17"/>
      <x:c r="F17"/>
      <x:c r="G17"/>
      <x:c r="H17"/>
      <x:c r="I17"/>
    </x:row>
    <x:row r="18">
      <x:c r="A18"/>
      <x:c r="B18"/>
      <x:c r="C18"/>
      <x:c r="D18"/>
      <x:c r="E18"/>
      <x:c r="F18"/>
      <x:c r="G18"/>
      <x:c r="H18"/>
      <x:c r="I18"/>
    </x:row>
    <x:row r="19">
      <x:c r="A19"/>
      <x:c r="B19"/>
      <x:c r="C19"/>
      <x:c r="D19"/>
      <x:c r="E19"/>
      <x:c r="F19"/>
      <x:c r="G19"/>
      <x:c r="H19"/>
      <x:c r="I19"/>
    </x:row>
    <x:row r="20">
      <x:c r="A20"/>
      <x:c r="B20"/>
      <x:c r="C20"/>
      <x:c r="D20"/>
      <x:c r="E20"/>
      <x:c r="F20"/>
      <x:c r="G20"/>
      <x:c r="H20"/>
      <x:c r="I20"/>
    </x:row>
    <x:row r="21">
      <x:c r="A21"/>
      <x:c r="B21"/>
      <x:c r="C21"/>
      <x:c r="D21"/>
      <x:c r="E21"/>
      <x:c r="F21"/>
      <x:c r="G21"/>
      <x:c r="H21"/>
      <x:c r="I21"/>
    </x:row>
    <x:row r="22">
      <x:c r="A22"/>
      <x:c r="B22"/>
      <x:c r="C22"/>
      <x:c r="D22"/>
      <x:c r="E22"/>
      <x:c r="F22"/>
      <x:c r="G22"/>
      <x:c r="H22"/>
      <x:c r="I22"/>
    </x:row>
    <x:row r="23">
      <x:c r="A23"/>
      <x:c r="B23"/>
      <x:c r="C23"/>
      <x:c r="D23"/>
      <x:c r="E23"/>
      <x:c r="F23"/>
      <x:c r="G23"/>
      <x:c r="H23"/>
      <x:c r="I23"/>
    </x:row>
    <x:row r="24">
      <x:c r="A24"/>
      <x:c r="B24"/>
      <x:c r="C24"/>
      <x:c r="D24"/>
      <x:c r="E24"/>
      <x:c r="F24"/>
      <x:c r="G24"/>
      <x:c r="H24"/>
      <x:c r="I24"/>
    </x:row>
  </x:sheetData>
  <x:mergeCells>
    <x:mergeCell ref="A1:I1"/>
    <x:mergeCell ref="A2:I2"/>
  </x:mergeCells>
  <x:dataValidations count="3">
    <x:dataValidation type="list" sqref="D4:D24">
      <x:formula1>"author conclusion,secondary claim,direct evidence,AI inference,limitation,unresolved"</x:formula1>
    </x:dataValidation>
    <x:dataValidation type="list" sqref="E4:E24">
      <x:formula1>"direct,indirect,speculative,not assessed"</x:formula1>
    </x:dataValidation>
    <x:dataValidation type="list" sqref="H4:H24">
      <x:formula1>"Not started,In progress,Awaiting approval,Complete,Retired"</x:formula1>
    </x:dataValidation>
  </x:dataValidations>
  <x:pageMargins left="0.7" right="0.7" top="0.75" bottom="0.75" header="0.3" footer="0.3"/>
  <x:tableParts count="1">
    <x:tablePart xmlns:r="http://schemas.openxmlformats.org/officeDocument/2006/relationships" r:id="Rd2047ca45742434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5" hidden="0" customWidth="1"/>
    <x:col min="2" max="2" width="18" hidden="0" customWidth="1"/>
    <x:col min="3" max="3" width="18" hidden="0" customWidth="1"/>
    <x:col min="4" max="4" width="24" hidden="0" customWidth="1"/>
    <x:col min="5" max="5" width="24" hidden="0" customWidth="1"/>
    <x:col min="6" max="6" width="34" hidden="0" customWidth="1"/>
    <x:col min="7" max="7" width="31" hidden="0" customWidth="1"/>
    <x:col min="8" max="8" width="36" hidden="0" customWidth="1"/>
    <x:col min="9" max="9" width="25" hidden="0" customWidth="1"/>
    <x:col min="10" max="10" width="20" hidden="0" customWidth="1"/>
    <x:col min="11" max="11" width="34" hidden="0" customWidth="1"/>
    <x:col min="12" max="12" width="28" hidden="0" customWidth="1"/>
    <x:col min="13" max="13" width="17" hidden="0" customWidth="1"/>
    <x:col min="14" max="14" width="18" hidden="0" customWidth="1"/>
  </x:cols>
  <x:sheetData>
    <x:row r="1" ht="26" customHeight="1">
      <x:c r="A1" s="53" t="str">
        <x:v>Comparability</x:v>
      </x:c>
      <x:c r="B1" s="54"/>
      <x:c r="C1" s="54"/>
      <x:c r="D1" s="54"/>
      <x:c r="E1" s="54"/>
      <x:c r="F1" s="54"/>
      <x:c r="G1" s="54"/>
      <x:c r="H1" s="54"/>
      <x:c r="I1" s="54"/>
      <x:c r="J1" s="54"/>
      <x:c r="K1" s="54"/>
      <x:c r="L1" s="54"/>
      <x:c r="M1" s="54"/>
      <x:c r="N1" s="55"/>
    </x:row>
    <x:row r="2" ht="30" customHeight="1">
      <x:c r="A2" s="56" t="str">
        <x:v>Editable review matrix. Use controlled values where available; select other and fill the labelled taxonomy-extension detail only when needed.</x:v>
      </x:c>
      <x:c r="B2" s="57"/>
      <x:c r="C2" s="57"/>
      <x:c r="D2" s="57"/>
      <x:c r="E2" s="57"/>
      <x:c r="F2" s="57"/>
      <x:c r="G2" s="57"/>
      <x:c r="H2" s="57"/>
      <x:c r="I2" s="57"/>
      <x:c r="J2" s="57"/>
      <x:c r="K2" s="57"/>
      <x:c r="L2" s="57"/>
      <x:c r="M2" s="57"/>
      <x:c r="N2" s="58"/>
    </x:row>
    <x:row r="3" ht="36" customHeight="1">
      <x:c r="A3" s="62" t="str">
        <x:v>Comparison ID</x:v>
      </x:c>
      <x:c r="B3" s="63" t="str">
        <x:v>Literature / evidence A</x:v>
      </x:c>
      <x:c r="C3" s="63" t="str">
        <x:v>Literature / evidence B</x:v>
      </x:c>
      <x:c r="D3" s="63" t="str">
        <x:v>Problem / objective compatible?</x:v>
      </x:c>
      <x:c r="E3" s="63" t="str">
        <x:v>Instance / scale compatible?</x:v>
      </x:c>
      <x:c r="F3" s="63" t="str">
        <x:v>Constraints / disturbance / information compatible?</x:v>
      </x:c>
      <x:c r="G3" s="63" t="str">
        <x:v>Budget / stopping condition compatible?</x:v>
      </x:c>
      <x:c r="H3" s="63" t="str">
        <x:v>Metric / normalization / reference point compatible?</x:v>
      </x:c>
      <x:c r="I3" s="63" t="str">
        <x:v>Runs / statistics compatible?</x:v>
      </x:c>
      <x:c r="J3" s="63" t="str">
        <x:v>Comparison verdict</x:v>
      </x:c>
      <x:c r="K3" s="63" t="str">
        <x:v>Reason if not DIRECT</x:v>
      </x:c>
      <x:c r="L3" s="63" t="str">
        <x:v>Permitted comparison</x:v>
      </x:c>
      <x:c r="M3" s="63" t="str">
        <x:v>Review status</x:v>
      </x:c>
      <x:c r="N3" s="64" t="str">
        <x:v>Reason check</x:v>
      </x:c>
    </x:row>
    <x:row r="4">
      <x:c r="A4"/>
      <x:c r="B4"/>
      <x:c r="C4"/>
      <x:c r="D4"/>
      <x:c r="E4"/>
      <x:c r="F4"/>
      <x:c r="G4"/>
      <x:c r="H4"/>
      <x:c r="I4"/>
      <x:c r="J4"/>
      <x:c r="K4"/>
      <x:c r="L4"/>
      <x:c r="M4"/>
      <x:c r="N4"/>
    </x:row>
    <x:row r="5">
      <x:c r="A5"/>
      <x:c r="B5"/>
      <x:c r="C5"/>
      <x:c r="D5"/>
      <x:c r="E5"/>
      <x:c r="F5"/>
      <x:c r="G5"/>
      <x:c r="H5"/>
      <x:c r="I5"/>
      <x:c r="J5"/>
      <x:c r="K5"/>
      <x:c r="L5"/>
      <x:c r="M5"/>
      <x:c r="N5"/>
    </x:row>
    <x:row r="6">
      <x:c r="A6"/>
      <x:c r="B6"/>
      <x:c r="C6"/>
      <x:c r="D6"/>
      <x:c r="E6"/>
      <x:c r="F6"/>
      <x:c r="G6"/>
      <x:c r="H6"/>
      <x:c r="I6"/>
      <x:c r="J6"/>
      <x:c r="K6"/>
      <x:c r="L6"/>
      <x:c r="M6"/>
      <x:c r="N6"/>
    </x:row>
    <x:row r="7">
      <x:c r="A7"/>
      <x:c r="B7"/>
      <x:c r="C7"/>
      <x:c r="D7"/>
      <x:c r="E7"/>
      <x:c r="F7"/>
      <x:c r="G7"/>
      <x:c r="H7"/>
      <x:c r="I7"/>
      <x:c r="J7"/>
      <x:c r="K7"/>
      <x:c r="L7"/>
      <x:c r="M7"/>
      <x:c r="N7"/>
    </x:row>
    <x:row r="8">
      <x:c r="A8"/>
      <x:c r="B8"/>
      <x:c r="C8"/>
      <x:c r="D8"/>
      <x:c r="E8"/>
      <x:c r="F8"/>
      <x:c r="G8"/>
      <x:c r="H8"/>
      <x:c r="I8"/>
      <x:c r="J8"/>
      <x:c r="K8"/>
      <x:c r="L8"/>
      <x:c r="M8"/>
      <x:c r="N8"/>
    </x:row>
    <x:row r="9">
      <x:c r="A9"/>
      <x:c r="B9"/>
      <x:c r="C9"/>
      <x:c r="D9"/>
      <x:c r="E9"/>
      <x:c r="F9"/>
      <x:c r="G9"/>
      <x:c r="H9"/>
      <x:c r="I9"/>
      <x:c r="J9"/>
      <x:c r="K9"/>
      <x:c r="L9"/>
      <x:c r="M9"/>
      <x:c r="N9"/>
    </x:row>
    <x:row r="10">
      <x:c r="A10"/>
      <x:c r="B10"/>
      <x:c r="C10"/>
      <x:c r="D10"/>
      <x:c r="E10"/>
      <x:c r="F10"/>
      <x:c r="G10"/>
      <x:c r="H10"/>
      <x:c r="I10"/>
      <x:c r="J10"/>
      <x:c r="K10"/>
      <x:c r="L10"/>
      <x:c r="M10"/>
      <x:c r="N10"/>
    </x:row>
    <x:row r="11">
      <x:c r="A11"/>
      <x:c r="B11"/>
      <x:c r="C11"/>
      <x:c r="D11"/>
      <x:c r="E11"/>
      <x:c r="F11"/>
      <x:c r="G11"/>
      <x:c r="H11"/>
      <x:c r="I11"/>
      <x:c r="J11"/>
      <x:c r="K11"/>
      <x:c r="L11"/>
      <x:c r="M11"/>
      <x:c r="N11"/>
    </x:row>
    <x:row r="12">
      <x:c r="A12"/>
      <x:c r="B12"/>
      <x:c r="C12"/>
      <x:c r="D12"/>
      <x:c r="E12"/>
      <x:c r="F12"/>
      <x:c r="G12"/>
      <x:c r="H12"/>
      <x:c r="I12"/>
      <x:c r="J12"/>
      <x:c r="K12"/>
      <x:c r="L12"/>
      <x:c r="M12"/>
      <x:c r="N12"/>
    </x:row>
    <x:row r="13">
      <x:c r="A13"/>
      <x:c r="B13"/>
      <x:c r="C13"/>
      <x:c r="D13"/>
      <x:c r="E13"/>
      <x:c r="F13"/>
      <x:c r="G13"/>
      <x:c r="H13"/>
      <x:c r="I13"/>
      <x:c r="J13"/>
      <x:c r="K13"/>
      <x:c r="L13"/>
      <x:c r="M13"/>
      <x:c r="N13"/>
    </x:row>
    <x:row r="14">
      <x:c r="A14"/>
      <x:c r="B14"/>
      <x:c r="C14"/>
      <x:c r="D14"/>
      <x:c r="E14"/>
      <x:c r="F14"/>
      <x:c r="G14"/>
      <x:c r="H14"/>
      <x:c r="I14"/>
      <x:c r="J14"/>
      <x:c r="K14"/>
      <x:c r="L14"/>
      <x:c r="M14"/>
      <x:c r="N14"/>
    </x:row>
    <x:row r="15">
      <x:c r="A15"/>
      <x:c r="B15"/>
      <x:c r="C15"/>
      <x:c r="D15"/>
      <x:c r="E15"/>
      <x:c r="F15"/>
      <x:c r="G15"/>
      <x:c r="H15"/>
      <x:c r="I15"/>
      <x:c r="J15"/>
      <x:c r="K15"/>
      <x:c r="L15"/>
      <x:c r="M15"/>
      <x:c r="N15"/>
    </x:row>
    <x:row r="16">
      <x:c r="A16"/>
      <x:c r="B16"/>
      <x:c r="C16"/>
      <x:c r="D16"/>
      <x:c r="E16"/>
      <x:c r="F16"/>
      <x:c r="G16"/>
      <x:c r="H16"/>
      <x:c r="I16"/>
      <x:c r="J16"/>
      <x:c r="K16"/>
      <x:c r="L16"/>
      <x:c r="M16"/>
      <x:c r="N16"/>
    </x:row>
    <x:row r="17">
      <x:c r="A17"/>
      <x:c r="B17"/>
      <x:c r="C17"/>
      <x:c r="D17"/>
      <x:c r="E17"/>
      <x:c r="F17"/>
      <x:c r="G17"/>
      <x:c r="H17"/>
      <x:c r="I17"/>
      <x:c r="J17"/>
      <x:c r="K17"/>
      <x:c r="L17"/>
      <x:c r="M17"/>
      <x:c r="N17"/>
    </x:row>
    <x:row r="18">
      <x:c r="A18"/>
      <x:c r="B18"/>
      <x:c r="C18"/>
      <x:c r="D18"/>
      <x:c r="E18"/>
      <x:c r="F18"/>
      <x:c r="G18"/>
      <x:c r="H18"/>
      <x:c r="I18"/>
      <x:c r="J18"/>
      <x:c r="K18"/>
      <x:c r="L18"/>
      <x:c r="M18"/>
      <x:c r="N18"/>
    </x:row>
    <x:row r="19">
      <x:c r="A19"/>
      <x:c r="B19"/>
      <x:c r="C19"/>
      <x:c r="D19"/>
      <x:c r="E19"/>
      <x:c r="F19"/>
      <x:c r="G19"/>
      <x:c r="H19"/>
      <x:c r="I19"/>
      <x:c r="J19"/>
      <x:c r="K19"/>
      <x:c r="L19"/>
      <x:c r="M19"/>
      <x:c r="N19"/>
    </x:row>
    <x:row r="20">
      <x:c r="A20"/>
      <x:c r="B20"/>
      <x:c r="C20"/>
      <x:c r="D20"/>
      <x:c r="E20"/>
      <x:c r="F20"/>
      <x:c r="G20"/>
      <x:c r="H20"/>
      <x:c r="I20"/>
      <x:c r="J20"/>
      <x:c r="K20"/>
      <x:c r="L20"/>
      <x:c r="M20"/>
      <x:c r="N20"/>
    </x:row>
    <x:row r="21">
      <x:c r="A21"/>
      <x:c r="B21"/>
      <x:c r="C21"/>
      <x:c r="D21"/>
      <x:c r="E21"/>
      <x:c r="F21"/>
      <x:c r="G21"/>
      <x:c r="H21"/>
      <x:c r="I21"/>
      <x:c r="J21"/>
      <x:c r="K21"/>
      <x:c r="L21"/>
      <x:c r="M21"/>
      <x:c r="N21"/>
    </x:row>
    <x:row r="22">
      <x:c r="A22"/>
      <x:c r="B22"/>
      <x:c r="C22"/>
      <x:c r="D22"/>
      <x:c r="E22"/>
      <x:c r="F22"/>
      <x:c r="G22"/>
      <x:c r="H22"/>
      <x:c r="I22"/>
      <x:c r="J22"/>
      <x:c r="K22"/>
      <x:c r="L22"/>
      <x:c r="M22"/>
      <x:c r="N22"/>
    </x:row>
    <x:row r="23">
      <x:c r="A23"/>
      <x:c r="B23"/>
      <x:c r="C23"/>
      <x:c r="D23"/>
      <x:c r="E23"/>
      <x:c r="F23"/>
      <x:c r="G23"/>
      <x:c r="H23"/>
      <x:c r="I23"/>
      <x:c r="J23"/>
      <x:c r="K23"/>
      <x:c r="L23"/>
      <x:c r="M23"/>
      <x:c r="N23"/>
    </x:row>
    <x:row r="24">
      <x:c r="A24"/>
      <x:c r="B24"/>
      <x:c r="C24"/>
      <x:c r="D24"/>
      <x:c r="E24"/>
      <x:c r="F24"/>
      <x:c r="G24"/>
      <x:c r="H24"/>
      <x:c r="I24"/>
      <x:c r="J24"/>
      <x:c r="K24"/>
      <x:c r="L24"/>
      <x:c r="M24"/>
      <x:c r="N24"/>
    </x:row>
  </x:sheetData>
  <x:mergeCells>
    <x:mergeCell ref="A1:N1"/>
    <x:mergeCell ref="A2:N2"/>
  </x:mergeCells>
  <x:dataValidations count="8">
    <x:dataValidation type="list" sqref="J4:J24">
      <x:formula1>"DIRECT,WITHIN-STUDY,QUALITATIVE"</x:formula1>
    </x:dataValidation>
    <x:dataValidation type="list" sqref="M4:M24">
      <x:formula1>"Not started,In progress,Awaiting approval,Complete,Retired"</x:formula1>
    </x:dataValidation>
    <x:dataValidation type="list" sqref="D4:D24">
      <x:formula1>"Yes,No,Not assessed"</x:formula1>
    </x:dataValidation>
    <x:dataValidation type="list" sqref="E4:E24">
      <x:formula1>"Yes,No,Not assessed"</x:formula1>
    </x:dataValidation>
    <x:dataValidation type="list" sqref="F4:F24">
      <x:formula1>"Yes,No,Not assessed"</x:formula1>
    </x:dataValidation>
    <x:dataValidation type="list" sqref="G4:G24">
      <x:formula1>"Yes,No,Not assessed"</x:formula1>
    </x:dataValidation>
    <x:dataValidation type="list" sqref="H4:H24">
      <x:formula1>"Yes,No,Not assessed"</x:formula1>
    </x:dataValidation>
    <x:dataValidation type="list" sqref="I4:I24">
      <x:formula1>"Yes,No,Not assessed"</x:formula1>
    </x:dataValidation>
  </x:dataValidations>
  <x:pageMargins left="0.7" right="0.7" top="0.75" bottom="0.75" header="0.3" footer="0.3"/>
  <x:tableParts count="1">
    <x:tablePart xmlns:r="http://schemas.openxmlformats.org/officeDocument/2006/relationships" r:id="R3f9fdb95d40f4d9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07.62999725341797" hidden="0" customWidth="1"/>
    <x:col min="2" max="2" width="18.75" hidden="0" customWidth="1"/>
    <x:col min="3" max="3" width="18.1299991607666" hidden="0" customWidth="1"/>
    <x:col min="4" max="4" width="15.630000114440918" hidden="0" customWidth="1"/>
    <x:col min="5" max="5" width="38" hidden="0" customWidth="1"/>
    <x:col min="6" max="6" width="38" hidden="0" customWidth="1"/>
    <x:col min="7" max="7" width="38" hidden="0" customWidth="1"/>
    <x:col min="8" max="8" width="8.880000114440918" hidden="0" customWidth="1"/>
    <x:col min="9" max="9" width="13.630000114440918" hidden="0" customWidth="1"/>
    <x:col min="10" max="10" width="8.25" hidden="0" customWidth="1"/>
    <x:col min="11" max="11" width="12.130000114440918" hidden="0" customWidth="1"/>
    <x:col min="12" max="12" width="9.5" hidden="0" customWidth="1"/>
  </x:cols>
  <x:sheetData>
    <x:row r="1" ht="26" customHeight="1">
      <x:c r="A1" s="53" t="str">
        <x:v>Unresolved</x:v>
      </x:c>
      <x:c r="B1" s="54"/>
      <x:c r="C1" s="54"/>
      <x:c r="D1" s="54"/>
      <x:c r="E1" s="54"/>
      <x:c r="F1" s="54"/>
      <x:c r="G1" s="54"/>
      <x:c r="H1" s="54"/>
      <x:c r="I1" s="54"/>
      <x:c r="J1" s="54"/>
      <x:c r="K1" s="54"/>
      <x:c r="L1" s="55"/>
    </x:row>
    <x:row r="2" ht="30" customHeight="1">
      <x:c r="A2" s="56" t="str">
        <x:v>Editable review matrix. Use controlled values where available; select other and fill the labelled taxonomy-extension detail only when needed.</x:v>
      </x:c>
      <x:c r="B2" s="57"/>
      <x:c r="C2" s="57"/>
      <x:c r="D2" s="57"/>
      <x:c r="E2" s="57"/>
      <x:c r="F2" s="57"/>
      <x:c r="G2" s="57"/>
      <x:c r="H2" s="57"/>
      <x:c r="I2" s="57"/>
      <x:c r="J2" s="57"/>
      <x:c r="K2" s="57"/>
      <x:c r="L2" s="58"/>
    </x:row>
    <x:row r="3" ht="15" hidden="0" customHeight="1">
      <x:c r="A3" s="62" t="str">
        <x:v>Issue ID</x:v>
      </x:c>
      <x:c r="B3" s="63" t="str">
        <x:v>Related Literature ID</x:v>
      </x:c>
      <x:c r="C3" s="63" t="str">
        <x:v>Related Evidence ID</x:v>
      </x:c>
      <x:c r="D3" s="63" t="str">
        <x:v>Related Claim ID</x:v>
      </x:c>
      <x:c r="E3" s="63" t="str">
        <x:v>Issue / missing detail</x:v>
      </x:c>
      <x:c r="F3" s="63" t="str">
        <x:v>Why it matters</x:v>
      </x:c>
      <x:c r="G3" s="63" t="str">
        <x:v>Verification source / next action</x:v>
      </x:c>
      <x:c r="H3" s="63" t="str">
        <x:v>Priority</x:v>
      </x:c>
      <x:c r="I3" s="63" t="str">
        <x:v>Review status</x:v>
      </x:c>
      <x:c r="J3" s="63" t="str">
        <x:v>Owner</x:v>
      </x:c>
      <x:c r="K3" s="63" t="str">
        <x:v>Date logged</x:v>
      </x:c>
      <x:c r="L3" s="64" t="str">
        <x:v>ID check</x:v>
      </x:c>
    </x:row>
    <x:row r="4" ht="39.599998474121094" hidden="0" customHeight="1">
      <x:c r="A4" s="27" t="str">
        <x:v>U001</x:v>
      </x:c>
      <x:c r="B4" s="27" t="str">
        <x:v>L001</x:v>
      </x:c>
      <x:c r="C4" s="27" t="str">
        <x:v>L001-E01</x:v>
      </x:c>
      <x:c r="D4" s="27"/>
      <x:c r="E4" s="27" t="str">
        <x:v>N5/N6逐篇抽取已完成；随机种子未报告；缺失项按原文保留</x:v>
      </x:c>
      <x:c r="F4" s="27" t="str">
        <x:v>影响算法模块归因和跨论文可比性</x:v>
      </x:c>
      <x:c r="G4" s="27" t="str">
        <x:v>已回填Evidence；缺失信息标为未报告/不适用，不再作为待抽取项</x:v>
      </x:c>
      <x:c r="H4" s="27" t="str">
        <x:v>Medium</x:v>
      </x:c>
      <x:c r="I4" s="27" t="str">
        <x:v>Resolved</x:v>
      </x:c>
      <x:c r="J4" s="27" t="str">
        <x:v>Codex</x:v>
      </x:c>
      <x:c r="K4" s="27" t="n">
        <x:v>46267</x:v>
      </x:c>
      <x:c r="L4" s="27" t="str">
        <x:v>OK</x:v>
      </x:c>
    </x:row>
    <x:row r="5" ht="39.599998474121094" hidden="0" customHeight="1">
      <x:c r="A5" s="27" t="str">
        <x:v>U002</x:v>
      </x:c>
      <x:c r="B5" s="27" t="str">
        <x:v>L002</x:v>
      </x:c>
      <x:c r="C5" s="27" t="str">
        <x:v>L002-E01</x:v>
      </x:c>
      <x:c r="D5" s="27"/>
      <x:c r="E5" s="27" t="str">
        <x:v>N5/N6逐篇抽取已完成；随机种子未报告；统计检验未报告；缺失项按原文保留</x:v>
      </x:c>
      <x:c r="F5" s="27" t="str">
        <x:v>影响算法模块归因和跨论文可比性</x:v>
      </x:c>
      <x:c r="G5" s="27" t="str">
        <x:v>已回填Evidence；缺失信息标为未报告/不适用，不再作为待抽取项</x:v>
      </x:c>
      <x:c r="H5" s="27" t="str">
        <x:v>Medium</x:v>
      </x:c>
      <x:c r="I5" s="27" t="str">
        <x:v>Resolved</x:v>
      </x:c>
      <x:c r="J5" s="27" t="str">
        <x:v>Codex</x:v>
      </x:c>
      <x:c r="K5" s="27" t="n">
        <x:v>46267</x:v>
      </x:c>
      <x:c r="L5" s="27" t="str">
        <x:v>OK</x:v>
      </x:c>
    </x:row>
    <x:row r="6" ht="39.599998474121094" hidden="0" customHeight="1">
      <x:c r="A6" s="27" t="str">
        <x:v>U003</x:v>
      </x:c>
      <x:c r="B6" s="27" t="str">
        <x:v>L003</x:v>
      </x:c>
      <x:c r="C6" s="27" t="str">
        <x:v>L003-E01</x:v>
      </x:c>
      <x:c r="D6" s="27"/>
      <x:c r="E6" s="27" t="str">
        <x:v>N5/N6逐篇抽取已完成；随机种子未报告；统计检验未报告；缺失项按原文保留</x:v>
      </x:c>
      <x:c r="F6" s="27" t="str">
        <x:v>影响算法模块归因和跨论文可比性</x:v>
      </x:c>
      <x:c r="G6" s="27" t="str">
        <x:v>已回填Evidence；缺失信息标为未报告/不适用，不再作为待抽取项</x:v>
      </x:c>
      <x:c r="H6" s="27" t="str">
        <x:v>Medium</x:v>
      </x:c>
      <x:c r="I6" s="27" t="str">
        <x:v>Resolved</x:v>
      </x:c>
      <x:c r="J6" s="27" t="str">
        <x:v>Codex</x:v>
      </x:c>
      <x:c r="K6" s="27" t="n">
        <x:v>46267</x:v>
      </x:c>
      <x:c r="L6" s="27" t="str">
        <x:v>OK</x:v>
      </x:c>
    </x:row>
    <x:row r="7" ht="39.599998474121094" hidden="0" customHeight="1">
      <x:c r="A7" s="27" t="str">
        <x:v>U004</x:v>
      </x:c>
      <x:c r="B7" s="27" t="str">
        <x:v>L004</x:v>
      </x:c>
      <x:c r="C7" s="27" t="str">
        <x:v>L004-E01</x:v>
      </x:c>
      <x:c r="D7" s="27"/>
      <x:c r="E7" s="27" t="str">
        <x:v>N5/N6逐篇抽取已完成；随机种子未报告；统计检验未报告；缺失项按原文保留</x:v>
      </x:c>
      <x:c r="F7" s="27" t="str">
        <x:v>影响算法模块归因和跨论文可比性</x:v>
      </x:c>
      <x:c r="G7" s="27" t="str">
        <x:v>已回填Evidence；缺失信息标为未报告/不适用，不再作为待抽取项</x:v>
      </x:c>
      <x:c r="H7" s="27" t="str">
        <x:v>Medium</x:v>
      </x:c>
      <x:c r="I7" s="27" t="str">
        <x:v>Resolved</x:v>
      </x:c>
      <x:c r="J7" s="27" t="str">
        <x:v>Codex</x:v>
      </x:c>
      <x:c r="K7" s="27" t="n">
        <x:v>46267</x:v>
      </x:c>
      <x:c r="L7" s="27" t="str">
        <x:v>OK</x:v>
      </x:c>
    </x:row>
    <x:row r="8" ht="39.599998474121094" hidden="0" customHeight="1">
      <x:c r="A8" s="27" t="str">
        <x:v>U005</x:v>
      </x:c>
      <x:c r="B8" s="27" t="str">
        <x:v>L005</x:v>
      </x:c>
      <x:c r="C8" s="27" t="str">
        <x:v>L005-E01</x:v>
      </x:c>
      <x:c r="D8" s="27"/>
      <x:c r="E8" s="27" t="str">
        <x:v>N5/N6逐篇抽取已完成；随机种子未报告；统计检验未报告；缺失项按原文保留</x:v>
      </x:c>
      <x:c r="F8" s="27" t="str">
        <x:v>影响算法模块归因和跨论文可比性</x:v>
      </x:c>
      <x:c r="G8" s="27" t="str">
        <x:v>已回填Evidence；缺失信息标为未报告/不适用，不再作为待抽取项</x:v>
      </x:c>
      <x:c r="H8" s="27" t="str">
        <x:v>Medium</x:v>
      </x:c>
      <x:c r="I8" s="27" t="str">
        <x:v>Resolved</x:v>
      </x:c>
      <x:c r="J8" s="27" t="str">
        <x:v>Codex</x:v>
      </x:c>
      <x:c r="K8" s="27" t="n">
        <x:v>46267</x:v>
      </x:c>
      <x:c r="L8" s="27" t="str">
        <x:v>OK</x:v>
      </x:c>
    </x:row>
    <x:row r="9" ht="39.599998474121094" hidden="0" customHeight="1">
      <x:c r="A9" s="27" t="str">
        <x:v>U006</x:v>
      </x:c>
      <x:c r="B9" s="27" t="str">
        <x:v>L006</x:v>
      </x:c>
      <x:c r="C9" s="27" t="str">
        <x:v>L006-E01</x:v>
      </x:c>
      <x:c r="D9" s="27"/>
      <x:c r="E9" s="27" t="str">
        <x:v>N5/N6逐篇抽取已完成；缺失项按原文保留</x:v>
      </x:c>
      <x:c r="F9" s="27" t="str">
        <x:v>影响算法模块归因和跨论文可比性</x:v>
      </x:c>
      <x:c r="G9" s="27" t="str">
        <x:v>已回填Evidence；缺失信息标为未报告/不适用，不再作为待抽取项</x:v>
      </x:c>
      <x:c r="H9" s="27" t="str">
        <x:v>Medium</x:v>
      </x:c>
      <x:c r="I9" s="27" t="str">
        <x:v>Resolved</x:v>
      </x:c>
      <x:c r="J9" s="27" t="str">
        <x:v>Codex</x:v>
      </x:c>
      <x:c r="K9" s="27" t="n">
        <x:v>46267</x:v>
      </x:c>
      <x:c r="L9" s="27" t="str">
        <x:v>OK</x:v>
      </x:c>
    </x:row>
    <x:row r="10" ht="39.599998474121094" hidden="0" customHeight="1">
      <x:c r="A10" s="27" t="str">
        <x:v>U007</x:v>
      </x:c>
      <x:c r="B10" s="27" t="str">
        <x:v>L007</x:v>
      </x:c>
      <x:c r="C10" s="27" t="str">
        <x:v>L007-E01</x:v>
      </x:c>
      <x:c r="D10" s="27"/>
      <x:c r="E10" s="27" t="str">
        <x:v>N5/N6逐篇抽取已完成；随机种子未报告；统计检验未报告；缺失项按原文保留</x:v>
      </x:c>
      <x:c r="F10" s="27" t="str">
        <x:v>影响算法模块归因和跨论文可比性</x:v>
      </x:c>
      <x:c r="G10" s="27" t="str">
        <x:v>已回填Evidence；缺失信息标为未报告/不适用，不再作为待抽取项</x:v>
      </x:c>
      <x:c r="H10" s="27" t="str">
        <x:v>Medium</x:v>
      </x:c>
      <x:c r="I10" s="27" t="str">
        <x:v>Resolved</x:v>
      </x:c>
      <x:c r="J10" s="27" t="str">
        <x:v>Codex</x:v>
      </x:c>
      <x:c r="K10" s="27" t="n">
        <x:v>46267</x:v>
      </x:c>
      <x:c r="L10" s="27" t="str">
        <x:v>OK</x:v>
      </x:c>
    </x:row>
    <x:row r="11" ht="39.599998474121094" hidden="0" customHeight="1">
      <x:c r="A11" s="27" t="str">
        <x:v>U008</x:v>
      </x:c>
      <x:c r="B11" s="27" t="str">
        <x:v>L008</x:v>
      </x:c>
      <x:c r="C11" s="27" t="str">
        <x:v>L008-E01</x:v>
      </x:c>
      <x:c r="D11" s="27"/>
      <x:c r="E11" s="27" t="str">
        <x:v>N5/N6逐篇抽取已完成；缺失项按原文保留</x:v>
      </x:c>
      <x:c r="F11" s="27" t="str">
        <x:v>影响算法模块归因和跨论文可比性</x:v>
      </x:c>
      <x:c r="G11" s="27" t="str">
        <x:v>已回填Evidence；缺失信息标为未报告/不适用，不再作为待抽取项</x:v>
      </x:c>
      <x:c r="H11" s="27" t="str">
        <x:v>Medium</x:v>
      </x:c>
      <x:c r="I11" s="27" t="str">
        <x:v>Resolved</x:v>
      </x:c>
      <x:c r="J11" s="27" t="str">
        <x:v>Codex</x:v>
      </x:c>
      <x:c r="K11" s="27" t="n">
        <x:v>46267</x:v>
      </x:c>
      <x:c r="L11" s="27" t="str">
        <x:v>OK</x:v>
      </x:c>
    </x:row>
    <x:row r="12" ht="39.599998474121094" hidden="0" customHeight="1">
      <x:c r="A12" s="27" t="str">
        <x:v>U009</x:v>
      </x:c>
      <x:c r="B12" s="27" t="str">
        <x:v>L009</x:v>
      </x:c>
      <x:c r="C12" s="27" t="str">
        <x:v>L009-E01</x:v>
      </x:c>
      <x:c r="D12" s="27"/>
      <x:c r="E12" s="27" t="str">
        <x:v>N5/N6逐篇抽取已完成；缺失项按原文保留</x:v>
      </x:c>
      <x:c r="F12" s="27" t="str">
        <x:v>影响算法模块归因和跨论文可比性</x:v>
      </x:c>
      <x:c r="G12" s="27" t="str">
        <x:v>已回填Evidence；缺失信息标为未报告/不适用，不再作为待抽取项</x:v>
      </x:c>
      <x:c r="H12" s="27" t="str">
        <x:v>Medium</x:v>
      </x:c>
      <x:c r="I12" s="27" t="str">
        <x:v>Resolved</x:v>
      </x:c>
      <x:c r="J12" s="27" t="str">
        <x:v>Codex</x:v>
      </x:c>
      <x:c r="K12" s="27" t="n">
        <x:v>46267</x:v>
      </x:c>
      <x:c r="L12" s="27" t="str">
        <x:v>OK</x:v>
      </x:c>
    </x:row>
    <x:row r="13" ht="39.599998474121094" hidden="0" customHeight="1">
      <x:c r="A13" s="27" t="str">
        <x:v>U010</x:v>
      </x:c>
      <x:c r="B13" s="27" t="str">
        <x:v>L010</x:v>
      </x:c>
      <x:c r="C13" s="27" t="str">
        <x:v>L010-E01</x:v>
      </x:c>
      <x:c r="D13" s="27"/>
      <x:c r="E13" s="27" t="str">
        <x:v>N5/N6逐篇抽取已完成；随机种子未报告；统计检验未报告；缺失项按原文保留</x:v>
      </x:c>
      <x:c r="F13" s="27" t="str">
        <x:v>影响算法模块归因和跨论文可比性</x:v>
      </x:c>
      <x:c r="G13" s="27" t="str">
        <x:v>已回填Evidence；缺失信息标为未报告/不适用，不再作为待抽取项</x:v>
      </x:c>
      <x:c r="H13" s="27" t="str">
        <x:v>Medium</x:v>
      </x:c>
      <x:c r="I13" s="27" t="str">
        <x:v>Resolved</x:v>
      </x:c>
      <x:c r="J13" s="27" t="str">
        <x:v>Codex</x:v>
      </x:c>
      <x:c r="K13" s="27" t="n">
        <x:v>46267</x:v>
      </x:c>
      <x:c r="L13" s="27" t="str">
        <x:v>OK</x:v>
      </x:c>
    </x:row>
    <x:row r="14" ht="39.599998474121094" hidden="0" customHeight="1">
      <x:c r="A14" s="27" t="str">
        <x:v>U011</x:v>
      </x:c>
      <x:c r="B14" s="27" t="str">
        <x:v>L011</x:v>
      </x:c>
      <x:c r="C14" s="27" t="str">
        <x:v>L011-E01</x:v>
      </x:c>
      <x:c r="D14" s="27"/>
      <x:c r="E14" s="27" t="str">
        <x:v>N5/N6逐篇抽取已完成；随机种子未报告；统计检验未报告；缺失项按原文保留</x:v>
      </x:c>
      <x:c r="F14" s="27" t="str">
        <x:v>影响算法模块归因和跨论文可比性</x:v>
      </x:c>
      <x:c r="G14" s="27" t="str">
        <x:v>已回填Evidence；缺失信息标为未报告/不适用，不再作为待抽取项</x:v>
      </x:c>
      <x:c r="H14" s="27" t="str">
        <x:v>Medium</x:v>
      </x:c>
      <x:c r="I14" s="27" t="str">
        <x:v>Resolved</x:v>
      </x:c>
      <x:c r="J14" s="27" t="str">
        <x:v>Codex</x:v>
      </x:c>
      <x:c r="K14" s="27" t="n">
        <x:v>46267</x:v>
      </x:c>
      <x:c r="L14" s="27" t="str">
        <x:v>OK</x:v>
      </x:c>
    </x:row>
    <x:row r="15" ht="39.599998474121094" hidden="0" customHeight="1">
      <x:c r="A15" s="27" t="str">
        <x:v>U012</x:v>
      </x:c>
      <x:c r="B15" s="27" t="str">
        <x:v>L012</x:v>
      </x:c>
      <x:c r="C15" s="27" t="str">
        <x:v>L012-E01</x:v>
      </x:c>
      <x:c r="D15" s="27"/>
      <x:c r="E15" s="27" t="str">
        <x:v>N5/N6逐篇抽取已完成；随机种子未报告；统计检验未报告；缺失项按原文保留</x:v>
      </x:c>
      <x:c r="F15" s="27" t="str">
        <x:v>影响算法模块归因和跨论文可比性</x:v>
      </x:c>
      <x:c r="G15" s="27" t="str">
        <x:v>已回填Evidence；缺失信息标为未报告/不适用，不再作为待抽取项</x:v>
      </x:c>
      <x:c r="H15" s="27" t="str">
        <x:v>Medium</x:v>
      </x:c>
      <x:c r="I15" s="27" t="str">
        <x:v>Resolved</x:v>
      </x:c>
      <x:c r="J15" s="27" t="str">
        <x:v>Codex</x:v>
      </x:c>
      <x:c r="K15" s="27" t="n">
        <x:v>46267</x:v>
      </x:c>
      <x:c r="L15" s="27" t="str">
        <x:v>OK</x:v>
      </x:c>
    </x:row>
    <x:row r="16" ht="39.599998474121094" hidden="0" customHeight="1">
      <x:c r="A16" s="27" t="str">
        <x:v>U013</x:v>
      </x:c>
      <x:c r="B16" s="27" t="str">
        <x:v>L013</x:v>
      </x:c>
      <x:c r="C16" s="27" t="str">
        <x:v>L013-E01</x:v>
      </x:c>
      <x:c r="D16" s="27"/>
      <x:c r="E16" s="27" t="str">
        <x:v>N5/N6逐篇抽取已完成；随机种子未报告；缺失项按原文保留</x:v>
      </x:c>
      <x:c r="F16" s="27" t="str">
        <x:v>影响算法模块归因和跨论文可比性</x:v>
      </x:c>
      <x:c r="G16" s="27" t="str">
        <x:v>已回填Evidence；缺失信息标为未报告/不适用，不再作为待抽取项</x:v>
      </x:c>
      <x:c r="H16" s="27" t="str">
        <x:v>Medium</x:v>
      </x:c>
      <x:c r="I16" s="27" t="str">
        <x:v>Resolved</x:v>
      </x:c>
      <x:c r="J16" s="27" t="str">
        <x:v>Codex</x:v>
      </x:c>
      <x:c r="K16" s="27" t="n">
        <x:v>46267</x:v>
      </x:c>
      <x:c r="L16" s="27" t="str">
        <x:v>OK</x:v>
      </x:c>
    </x:row>
    <x:row r="17" ht="39.599998474121094" hidden="0" customHeight="1">
      <x:c r="A17" s="27" t="str">
        <x:v>U014</x:v>
      </x:c>
      <x:c r="B17" s="27" t="str">
        <x:v>L014</x:v>
      </x:c>
      <x:c r="C17" s="27" t="str">
        <x:v>L014-E01</x:v>
      </x:c>
      <x:c r="D17" s="27"/>
      <x:c r="E17" s="27" t="str">
        <x:v>N5/N6逐篇抽取已完成；随机种子未报告；统计检验未报告；缺失项按原文保留</x:v>
      </x:c>
      <x:c r="F17" s="27" t="str">
        <x:v>影响算法模块归因和跨论文可比性</x:v>
      </x:c>
      <x:c r="G17" s="27" t="str">
        <x:v>已回填Evidence；缺失信息标为未报告/不适用，不再作为待抽取项</x:v>
      </x:c>
      <x:c r="H17" s="27" t="str">
        <x:v>Medium</x:v>
      </x:c>
      <x:c r="I17" s="27" t="str">
        <x:v>Resolved</x:v>
      </x:c>
      <x:c r="J17" s="27" t="str">
        <x:v>Codex</x:v>
      </x:c>
      <x:c r="K17" s="27" t="n">
        <x:v>46267</x:v>
      </x:c>
      <x:c r="L17" s="27" t="str">
        <x:v>OK</x:v>
      </x:c>
    </x:row>
    <x:row r="18" ht="39.599998474121094" hidden="0" customHeight="1">
      <x:c r="A18" s="27" t="str">
        <x:v>U015</x:v>
      </x:c>
      <x:c r="B18" s="27" t="str">
        <x:v>L015</x:v>
      </x:c>
      <x:c r="C18" s="27" t="str">
        <x:v>L015-E01</x:v>
      </x:c>
      <x:c r="D18" s="27"/>
      <x:c r="E18" s="27" t="str">
        <x:v>N5/N6逐篇抽取已完成；随机种子未报告；统计检验未报告；缺失项按原文保留</x:v>
      </x:c>
      <x:c r="F18" s="27" t="str">
        <x:v>影响算法模块归因和跨论文可比性</x:v>
      </x:c>
      <x:c r="G18" s="27" t="str">
        <x:v>已回填Evidence；缺失信息标为未报告/不适用，不再作为待抽取项</x:v>
      </x:c>
      <x:c r="H18" s="27" t="str">
        <x:v>Medium</x:v>
      </x:c>
      <x:c r="I18" s="27" t="str">
        <x:v>Resolved</x:v>
      </x:c>
      <x:c r="J18" s="27" t="str">
        <x:v>Codex</x:v>
      </x:c>
      <x:c r="K18" s="27" t="n">
        <x:v>46267</x:v>
      </x:c>
      <x:c r="L18" s="27" t="str">
        <x:v>OK</x:v>
      </x:c>
    </x:row>
    <x:row r="19" ht="39.599998474121094" hidden="0" customHeight="1">
      <x:c r="A19" s="27" t="str">
        <x:v>U016</x:v>
      </x:c>
      <x:c r="B19" s="27" t="str">
        <x:v>L016</x:v>
      </x:c>
      <x:c r="C19" s="27" t="str">
        <x:v>L016-E01</x:v>
      </x:c>
      <x:c r="D19" s="27"/>
      <x:c r="E19" s="27" t="str">
        <x:v>N5/N6逐篇抽取已完成；随机种子未报告；统计检验未报告；缺失项按原文保留</x:v>
      </x:c>
      <x:c r="F19" s="27" t="str">
        <x:v>影响算法模块归因和跨论文可比性</x:v>
      </x:c>
      <x:c r="G19" s="27" t="str">
        <x:v>已回填Evidence；缺失信息标为未报告/不适用，不再作为待抽取项</x:v>
      </x:c>
      <x:c r="H19" s="27" t="str">
        <x:v>Medium</x:v>
      </x:c>
      <x:c r="I19" s="27" t="str">
        <x:v>Resolved</x:v>
      </x:c>
      <x:c r="J19" s="27" t="str">
        <x:v>Codex</x:v>
      </x:c>
      <x:c r="K19" s="27" t="n">
        <x:v>46267</x:v>
      </x:c>
      <x:c r="L19" s="27" t="str">
        <x:v>OK</x:v>
      </x:c>
    </x:row>
    <x:row r="20" ht="39.599998474121094" hidden="0" customHeight="1">
      <x:c r="A20" s="27" t="str">
        <x:v>U017</x:v>
      </x:c>
      <x:c r="B20" s="27" t="str">
        <x:v>L017</x:v>
      </x:c>
      <x:c r="C20" s="27" t="str">
        <x:v>L017-E01</x:v>
      </x:c>
      <x:c r="D20" s="27"/>
      <x:c r="E20" s="27" t="str">
        <x:v>N5/N6逐篇抽取已完成；随机种子未报告；统计检验未报告；缺失项按原文保留</x:v>
      </x:c>
      <x:c r="F20" s="27" t="str">
        <x:v>影响算法模块归因和跨论文可比性</x:v>
      </x:c>
      <x:c r="G20" s="27" t="str">
        <x:v>已回填Evidence；缺失信息标为未报告/不适用，不再作为待抽取项</x:v>
      </x:c>
      <x:c r="H20" s="27" t="str">
        <x:v>Medium</x:v>
      </x:c>
      <x:c r="I20" s="27" t="str">
        <x:v>Resolved</x:v>
      </x:c>
      <x:c r="J20" s="27" t="str">
        <x:v>Codex</x:v>
      </x:c>
      <x:c r="K20" s="27" t="n">
        <x:v>46267</x:v>
      </x:c>
      <x:c r="L20" s="27" t="str">
        <x:v>OK</x:v>
      </x:c>
    </x:row>
    <x:row r="21" ht="39.599998474121094" hidden="0" customHeight="1">
      <x:c r="A21" s="27" t="str">
        <x:v>U018</x:v>
      </x:c>
      <x:c r="B21" s="27" t="str">
        <x:v>L018</x:v>
      </x:c>
      <x:c r="C21" s="27" t="str">
        <x:v>L018-E01</x:v>
      </x:c>
      <x:c r="D21" s="27"/>
      <x:c r="E21" s="27" t="str">
        <x:v>N5/N6逐篇抽取已完成；随机种子未报告；统计检验未报告；缺失项按原文保留</x:v>
      </x:c>
      <x:c r="F21" s="27" t="str">
        <x:v>影响算法模块归因和跨论文可比性</x:v>
      </x:c>
      <x:c r="G21" s="27" t="str">
        <x:v>已回填Evidence；缺失信息标为未报告/不适用，不再作为待抽取项</x:v>
      </x:c>
      <x:c r="H21" s="27" t="str">
        <x:v>Medium</x:v>
      </x:c>
      <x:c r="I21" s="27" t="str">
        <x:v>Resolved</x:v>
      </x:c>
      <x:c r="J21" s="27" t="str">
        <x:v>Codex</x:v>
      </x:c>
      <x:c r="K21" s="27" t="n">
        <x:v>46267</x:v>
      </x:c>
      <x:c r="L21" s="27" t="str">
        <x:v>OK</x:v>
      </x:c>
    </x:row>
    <x:row r="22" ht="39.599998474121094" hidden="0" customHeight="1">
      <x:c r="A22" s="27" t="str">
        <x:v>U019</x:v>
      </x:c>
      <x:c r="B22" s="27" t="str">
        <x:v>L019</x:v>
      </x:c>
      <x:c r="C22" s="27" t="str">
        <x:v>L019-E01</x:v>
      </x:c>
      <x:c r="D22" s="27"/>
      <x:c r="E22" s="27" t="str">
        <x:v>N5/N6逐篇抽取已完成；随机种子未报告；统计检验未报告；缺失项按原文保留</x:v>
      </x:c>
      <x:c r="F22" s="27" t="str">
        <x:v>影响算法模块归因和跨论文可比性</x:v>
      </x:c>
      <x:c r="G22" s="27" t="str">
        <x:v>已回填Evidence；缺失信息标为未报告/不适用，不再作为待抽取项</x:v>
      </x:c>
      <x:c r="H22" s="27" t="str">
        <x:v>Medium</x:v>
      </x:c>
      <x:c r="I22" s="27" t="str">
        <x:v>Resolved</x:v>
      </x:c>
      <x:c r="J22" s="27" t="str">
        <x:v>Codex</x:v>
      </x:c>
      <x:c r="K22" s="27" t="n">
        <x:v>46267</x:v>
      </x:c>
      <x:c r="L22" s="27" t="str">
        <x:v>OK</x:v>
      </x:c>
    </x:row>
    <x:row r="23" ht="39.599998474121094" hidden="0" customHeight="1">
      <x:c r="A23" s="27" t="str">
        <x:v>U020</x:v>
      </x:c>
      <x:c r="B23" s="27" t="str">
        <x:v>L020</x:v>
      </x:c>
      <x:c r="C23" s="27" t="str">
        <x:v>L020-E01</x:v>
      </x:c>
      <x:c r="D23" s="27"/>
      <x:c r="E23" s="27" t="str">
        <x:v>N5/N6逐篇抽取已完成；随机种子未报告；统计检验未报告；缺失项按原文保留</x:v>
      </x:c>
      <x:c r="F23" s="27" t="str">
        <x:v>影响算法模块归因和跨论文可比性</x:v>
      </x:c>
      <x:c r="G23" s="27" t="str">
        <x:v>已回填Evidence；缺失信息标为未报告/不适用，不再作为待抽取项</x:v>
      </x:c>
      <x:c r="H23" s="27" t="str">
        <x:v>Medium</x:v>
      </x:c>
      <x:c r="I23" s="27" t="str">
        <x:v>Resolved</x:v>
      </x:c>
      <x:c r="J23" s="27" t="str">
        <x:v>Codex</x:v>
      </x:c>
      <x:c r="K23" s="27" t="n">
        <x:v>46267</x:v>
      </x:c>
      <x:c r="L23" s="27" t="str">
        <x:v>OK</x:v>
      </x:c>
    </x:row>
    <x:row r="24" ht="39.599998474121094" hidden="0" customHeight="1">
      <x:c r="A24" s="27" t="str">
        <x:v>U021</x:v>
      </x:c>
      <x:c r="B24" s="27" t="str">
        <x:v>L021</x:v>
      </x:c>
      <x:c r="C24" s="27" t="str">
        <x:v>L021-E01</x:v>
      </x:c>
      <x:c r="D24" s="27"/>
      <x:c r="E24" s="27" t="str">
        <x:v>N5/N6逐篇抽取已完成；随机种子未报告；统计检验未报告；缺失项按原文保留</x:v>
      </x:c>
      <x:c r="F24" s="27" t="str">
        <x:v>影响算法模块归因和跨论文可比性</x:v>
      </x:c>
      <x:c r="G24" s="27" t="str">
        <x:v>已回填Evidence；缺失信息标为未报告/不适用，不再作为待抽取项</x:v>
      </x:c>
      <x:c r="H24" s="27" t="str">
        <x:v>Medium</x:v>
      </x:c>
      <x:c r="I24" s="27" t="str">
        <x:v>Resolved</x:v>
      </x:c>
      <x:c r="J24" s="27" t="str">
        <x:v>Codex</x:v>
      </x:c>
      <x:c r="K24" s="27" t="n">
        <x:v>46267</x:v>
      </x:c>
      <x:c r="L24" s="27" t="str">
        <x:v>OK</x:v>
      </x:c>
    </x:row>
    <x:row r="25" ht="39.599998474121094" hidden="0" customHeight="1">
      <x:c r="A25" s="27" t="str">
        <x:v>U022</x:v>
      </x:c>
      <x:c r="B25" s="27" t="str">
        <x:v>L022</x:v>
      </x:c>
      <x:c r="C25" s="27" t="str">
        <x:v>L022-E01</x:v>
      </x:c>
      <x:c r="D25" s="27"/>
      <x:c r="E25" s="27" t="str">
        <x:v>N5/N6逐篇抽取已完成；随机种子未报告；统计检验未报告；缺失项按原文保留</x:v>
      </x:c>
      <x:c r="F25" s="27" t="str">
        <x:v>影响算法模块归因和跨论文可比性</x:v>
      </x:c>
      <x:c r="G25" s="27" t="str">
        <x:v>已回填Evidence；缺失信息标为未报告/不适用，不再作为待抽取项</x:v>
      </x:c>
      <x:c r="H25" s="27" t="str">
        <x:v>Medium</x:v>
      </x:c>
      <x:c r="I25" s="27" t="str">
        <x:v>Resolved</x:v>
      </x:c>
      <x:c r="J25" s="27" t="str">
        <x:v>Codex</x:v>
      </x:c>
      <x:c r="K25" s="27" t="n">
        <x:v>46267</x:v>
      </x:c>
      <x:c r="L25" s="27" t="str">
        <x:v>OK</x:v>
      </x:c>
    </x:row>
    <x:row r="26" ht="39.599998474121094" hidden="0" customHeight="1">
      <x:c r="A26" s="27" t="str">
        <x:v>U023</x:v>
      </x:c>
      <x:c r="B26" s="27" t="str">
        <x:v>L023</x:v>
      </x:c>
      <x:c r="C26" s="27" t="str">
        <x:v>L023-E01</x:v>
      </x:c>
      <x:c r="D26" s="27"/>
      <x:c r="E26" s="27" t="str">
        <x:v>N5/N6逐篇抽取已完成；随机种子未报告；统计检验未报告；缺失项按原文保留</x:v>
      </x:c>
      <x:c r="F26" s="27" t="str">
        <x:v>影响算法模块归因和跨论文可比性</x:v>
      </x:c>
      <x:c r="G26" s="27" t="str">
        <x:v>已回填Evidence；缺失信息标为未报告/不适用，不再作为待抽取项</x:v>
      </x:c>
      <x:c r="H26" s="27" t="str">
        <x:v>Medium</x:v>
      </x:c>
      <x:c r="I26" s="27" t="str">
        <x:v>Resolved</x:v>
      </x:c>
      <x:c r="J26" s="27" t="str">
        <x:v>Codex</x:v>
      </x:c>
      <x:c r="K26" s="27" t="n">
        <x:v>46267</x:v>
      </x:c>
      <x:c r="L26" s="27" t="str">
        <x:v>OK</x:v>
      </x:c>
    </x:row>
    <x:row r="27" ht="39.599998474121094" hidden="0" customHeight="1">
      <x:c r="A27" s="27" t="str">
        <x:v>U024</x:v>
      </x:c>
      <x:c r="B27" s="27" t="str">
        <x:v>L024</x:v>
      </x:c>
      <x:c r="C27" s="27" t="str">
        <x:v>L024-E01</x:v>
      </x:c>
      <x:c r="D27" s="27"/>
      <x:c r="E27" s="27" t="str">
        <x:v>N5/N6逐篇抽取已完成；随机种子未报告；统计检验未报告；缺失项按原文保留</x:v>
      </x:c>
      <x:c r="F27" s="27" t="str">
        <x:v>影响算法模块归因和跨论文可比性</x:v>
      </x:c>
      <x:c r="G27" s="27" t="str">
        <x:v>已回填Evidence；缺失信息标为未报告/不适用，不再作为待抽取项</x:v>
      </x:c>
      <x:c r="H27" s="27" t="str">
        <x:v>Medium</x:v>
      </x:c>
      <x:c r="I27" s="27" t="str">
        <x:v>Resolved</x:v>
      </x:c>
      <x:c r="J27" s="27" t="str">
        <x:v>Codex</x:v>
      </x:c>
      <x:c r="K27" s="27" t="n">
        <x:v>46267</x:v>
      </x:c>
      <x:c r="L27" s="27" t="str">
        <x:v>OK</x:v>
      </x:c>
    </x:row>
    <x:row r="28" ht="39.599998474121094" hidden="0" customHeight="1">
      <x:c r="A28" s="27" t="str">
        <x:v>U025</x:v>
      </x:c>
      <x:c r="B28" s="27" t="str">
        <x:v>L025</x:v>
      </x:c>
      <x:c r="C28" s="27" t="str">
        <x:v>L025-E01</x:v>
      </x:c>
      <x:c r="D28" s="27"/>
      <x:c r="E28" s="27" t="str">
        <x:v>N5/N6逐篇抽取已完成；随机种子未报告；统计检验未报告；缺失项按原文保留</x:v>
      </x:c>
      <x:c r="F28" s="27" t="str">
        <x:v>影响算法模块归因和跨论文可比性</x:v>
      </x:c>
      <x:c r="G28" s="27" t="str">
        <x:v>已回填Evidence；缺失信息标为未报告/不适用，不再作为待抽取项</x:v>
      </x:c>
      <x:c r="H28" s="27" t="str">
        <x:v>Medium</x:v>
      </x:c>
      <x:c r="I28" s="27" t="str">
        <x:v>Resolved</x:v>
      </x:c>
      <x:c r="J28" s="27" t="str">
        <x:v>Codex</x:v>
      </x:c>
      <x:c r="K28" s="27" t="n">
        <x:v>46267</x:v>
      </x:c>
      <x:c r="L28" s="27" t="str">
        <x:v>OK</x:v>
      </x:c>
    </x:row>
    <x:row r="29" ht="39.599998474121094" hidden="0" customHeight="1">
      <x:c r="A29" s="27" t="str">
        <x:v>U026</x:v>
      </x:c>
      <x:c r="B29" s="27" t="str">
        <x:v>L026</x:v>
      </x:c>
      <x:c r="C29" s="27" t="str">
        <x:v>L026-E01</x:v>
      </x:c>
      <x:c r="D29" s="27"/>
      <x:c r="E29" s="27" t="str">
        <x:v>N5/N6逐篇抽取已完成；随机种子未报告；统计检验未报告；缺失项按原文保留</x:v>
      </x:c>
      <x:c r="F29" s="27" t="str">
        <x:v>影响算法模块归因和跨论文可比性</x:v>
      </x:c>
      <x:c r="G29" s="27" t="str">
        <x:v>已回填Evidence；缺失信息标为未报告/不适用，不再作为待抽取项</x:v>
      </x:c>
      <x:c r="H29" s="27" t="str">
        <x:v>Medium</x:v>
      </x:c>
      <x:c r="I29" s="27" t="str">
        <x:v>Resolved</x:v>
      </x:c>
      <x:c r="J29" s="27" t="str">
        <x:v>Codex</x:v>
      </x:c>
      <x:c r="K29" s="27" t="n">
        <x:v>46267</x:v>
      </x:c>
      <x:c r="L29" s="27" t="str">
        <x:v>OK</x:v>
      </x:c>
    </x:row>
    <x:row r="30" ht="39.599998474121094" hidden="0" customHeight="1">
      <x:c r="A30" s="27" t="str">
        <x:v>U027</x:v>
      </x:c>
      <x:c r="B30" s="27" t="str">
        <x:v>L027</x:v>
      </x:c>
      <x:c r="C30" s="27" t="str">
        <x:v>L027-E01</x:v>
      </x:c>
      <x:c r="D30" s="27"/>
      <x:c r="E30" s="27" t="str">
        <x:v>N5/N6逐篇抽取已完成；随机种子未报告；统计检验未报告；缺失项按原文保留</x:v>
      </x:c>
      <x:c r="F30" s="27" t="str">
        <x:v>影响算法模块归因和跨论文可比性</x:v>
      </x:c>
      <x:c r="G30" s="27" t="str">
        <x:v>已回填Evidence；缺失信息标为未报告/不适用，不再作为待抽取项</x:v>
      </x:c>
      <x:c r="H30" s="27" t="str">
        <x:v>Medium</x:v>
      </x:c>
      <x:c r="I30" s="27" t="str">
        <x:v>Resolved</x:v>
      </x:c>
      <x:c r="J30" s="27" t="str">
        <x:v>Codex</x:v>
      </x:c>
      <x:c r="K30" s="27" t="n">
        <x:v>46267</x:v>
      </x:c>
      <x:c r="L30" s="27" t="str">
        <x:v>OK</x:v>
      </x:c>
    </x:row>
    <x:row r="31" ht="39.599998474121094" hidden="0" customHeight="1">
      <x:c r="A31" s="27" t="str">
        <x:v>U028</x:v>
      </x:c>
      <x:c r="B31" s="27" t="str">
        <x:v>L028</x:v>
      </x:c>
      <x:c r="C31" s="27" t="str">
        <x:v>L028-E01</x:v>
      </x:c>
      <x:c r="D31" s="27"/>
      <x:c r="E31" s="27" t="str">
        <x:v>N5/N6逐篇抽取已完成；随机种子未报告；统计检验未报告；缺失项按原文保留</x:v>
      </x:c>
      <x:c r="F31" s="27" t="str">
        <x:v>影响算法模块归因和跨论文可比性</x:v>
      </x:c>
      <x:c r="G31" s="27" t="str">
        <x:v>已回填Evidence；缺失信息标为未报告/不适用，不再作为待抽取项</x:v>
      </x:c>
      <x:c r="H31" s="27" t="str">
        <x:v>Medium</x:v>
      </x:c>
      <x:c r="I31" s="27" t="str">
        <x:v>Resolved</x:v>
      </x:c>
      <x:c r="J31" s="27" t="str">
        <x:v>Codex</x:v>
      </x:c>
      <x:c r="K31" s="27" t="n">
        <x:v>46267</x:v>
      </x:c>
      <x:c r="L31" s="27" t="str">
        <x:v>OK</x:v>
      </x:c>
    </x:row>
    <x:row r="32" ht="39.599998474121094" hidden="0" customHeight="1">
      <x:c r="A32" s="27" t="str">
        <x:v>U029</x:v>
      </x:c>
      <x:c r="B32" s="27" t="str">
        <x:v>L029</x:v>
      </x:c>
      <x:c r="C32" s="27" t="str">
        <x:v>L029-E01</x:v>
      </x:c>
      <x:c r="D32" s="27"/>
      <x:c r="E32" s="27" t="str">
        <x:v>N5/N6逐篇抽取已完成；随机种子未报告；统计检验未报告；缺失项按原文保留</x:v>
      </x:c>
      <x:c r="F32" s="27" t="str">
        <x:v>影响算法模块归因和跨论文可比性</x:v>
      </x:c>
      <x:c r="G32" s="27" t="str">
        <x:v>已回填Evidence；缺失信息标为未报告/不适用，不再作为待抽取项</x:v>
      </x:c>
      <x:c r="H32" s="27" t="str">
        <x:v>Medium</x:v>
      </x:c>
      <x:c r="I32" s="27" t="str">
        <x:v>Resolved</x:v>
      </x:c>
      <x:c r="J32" s="27" t="str">
        <x:v>Codex</x:v>
      </x:c>
      <x:c r="K32" s="27" t="n">
        <x:v>46267</x:v>
      </x:c>
      <x:c r="L32" s="27" t="str">
        <x:v>OK</x:v>
      </x:c>
    </x:row>
  </x:sheetData>
  <x:mergeCells>
    <x:mergeCell ref="A1:L1"/>
    <x:mergeCell ref="A2:L2"/>
  </x:mergeCells>
  <x:dataValidations count="2">
    <x:dataValidation type="list" sqref="H4:H24">
      <x:formula1>"High,Medium,Low"</x:formula1>
    </x:dataValidation>
    <x:dataValidation type="list" sqref="I4:I24">
      <x:formula1>"Not started,In progress,Awaiting approval,Complete,Retired"</x:formula1>
    </x:dataValidation>
  </x:dataValidations>
  <x:pageMargins left="0.7" right="0.7" top="0.75" bottom="0.75" header="0.3" footer="0.3"/>
  <x:tableParts count="1">
    <x:tablePart xmlns:r="http://schemas.openxmlformats.org/officeDocument/2006/relationships" r:id="Rad3af9c9399647f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4" hidden="0" customWidth="1"/>
    <x:col min="2" max="2" width="13" hidden="0" customWidth="1"/>
    <x:col min="3" max="3" width="44" hidden="0" customWidth="1"/>
    <x:col min="4" max="4" width="42" hidden="0" customWidth="1"/>
    <x:col min="5" max="5" width="20" hidden="0" customWidth="1"/>
    <x:col min="6" max="6" width="22" hidden="0" customWidth="1"/>
    <x:col min="7" max="7" width="15" hidden="0" customWidth="1"/>
  </x:cols>
  <x:sheetData>
    <x:row r="1" ht="26" customHeight="1">
      <x:c r="A1" s="34" t="str">
        <x:v>Version Log</x:v>
      </x:c>
      <x:c r="B1" s="35"/>
      <x:c r="C1" s="35"/>
      <x:c r="D1" s="35"/>
      <x:c r="E1" s="35"/>
      <x:c r="F1" s="35"/>
      <x:c r="G1" s="36"/>
    </x:row>
    <x:row r="2" ht="30" customHeight="1">
      <x:c r="A2" s="37" t="str">
        <x:v>Editable review matrix. Use controlled values where available; select other and fill the labelled taxonomy-extension detail only when needed.</x:v>
      </x:c>
      <x:c r="B2" s="38"/>
      <x:c r="C2" s="38"/>
      <x:c r="D2" s="38"/>
      <x:c r="E2" s="38"/>
      <x:c r="F2" s="38"/>
      <x:c r="G2" s="39"/>
    </x:row>
    <x:row r="3" ht="36" customHeight="1">
      <x:c r="A3" s="20" t="str">
        <x:v>Version</x:v>
      </x:c>
      <x:c r="B3" s="21" t="str">
        <x:v>Date</x:v>
      </x:c>
      <x:c r="C3" s="21" t="str">
        <x:v>Change summary</x:v>
      </x:c>
      <x:c r="D3" s="21" t="str">
        <x:v>Scope / evidence impact</x:v>
      </x:c>
      <x:c r="E3" s="21" t="str">
        <x:v>Reviewed by</x:v>
      </x:c>
      <x:c r="F3" s="21" t="str">
        <x:v>Approval / review status</x:v>
      </x:c>
      <x:c r="G3" s="22" t="str">
        <x:v>Version check</x:v>
      </x:c>
    </x:row>
    <x:row r="4">
      <x:c r="A4" s="40" t="str">
        <x:v>0.1</x:v>
      </x:c>
      <x:c r="B4" s="30" t="n">
        <x:v>46245</x:v>
      </x:c>
      <x:c r="C4" s="26" t="str">
        <x:v>EXAMPLE — remove before project use: initial matrix template</x:v>
      </x:c>
      <x:c r="D4" s="26" t="str">
        <x:v>No evidence claim; fictional placeholder rows only</x:v>
      </x:c>
      <x:c r="E4" s="26" t="str"/>
      <x:c r="F4" s="26" t="str">
        <x:v>Not started</x:v>
      </x:c>
      <x:c r="G4" s="41" t="str">
        <x:f>IF(COUNTA(B4:F4)=0,"",IF(A4="","MISSING ID","OK"))</x:f>
        <x:v>OK</x:v>
      </x:c>
    </x:row>
    <x:row r="5">
      <x:c r="A5" s="42" t="str">
        <x:v>v0.2</x:v>
      </x:c>
      <x:c r="B5" s="31" t="n">
        <x:v>46268</x:v>
      </x:c>
      <x:c r="C5" s="29" t="str">
        <x:v>Codex</x:v>
      </x:c>
      <x:c r="D5" s="29" t="str">
        <x:v>完成L001–L029的N5算法调用链与N6实验协议深度抽取；缺失信息显式标注未报告/不适用</x:v>
      </x:c>
      <x:c r="E5" s="29" t="str">
        <x:v>B001–B029原文转换文本；P02_N5N6逐篇深度抽取.md</x:v>
      </x:c>
      <x:c r="F5" s="29" t="str">
        <x:v>Deep extraction complete</x:v>
      </x:c>
      <x:c r="G5" s="41" t="str">
        <x:v>OK</x:v>
      </x:c>
    </x:row>
    <x:row r="6">
      <x:c r="A6" s="42"/>
      <x:c r="B6" s="31"/>
      <x:c r="C6" s="29"/>
      <x:c r="D6" s="29"/>
      <x:c r="E6" s="29"/>
      <x:c r="F6" s="29"/>
      <x:c r="G6" s="41" t="str">
        <x:f>IF(COUNTA(B6:F6)=0,"",IF(A6="","MISSING ID","OK"))</x:f>
      </x:c>
    </x:row>
    <x:row r="7">
      <x:c r="A7" s="42"/>
      <x:c r="B7" s="31"/>
      <x:c r="C7" s="29"/>
      <x:c r="D7" s="29"/>
      <x:c r="E7" s="29"/>
      <x:c r="F7" s="29"/>
      <x:c r="G7" s="41" t="str">
        <x:f>IF(COUNTA(B7:F7)=0,"",IF(A7="","MISSING ID","OK"))</x:f>
      </x:c>
    </x:row>
    <x:row r="8">
      <x:c r="A8" s="42"/>
      <x:c r="B8" s="31"/>
      <x:c r="C8" s="29"/>
      <x:c r="D8" s="29"/>
      <x:c r="E8" s="29"/>
      <x:c r="F8" s="29"/>
      <x:c r="G8" s="41" t="str">
        <x:f>IF(COUNTA(B8:F8)=0,"",IF(A8="","MISSING ID","OK"))</x:f>
      </x:c>
    </x:row>
    <x:row r="9">
      <x:c r="A9" s="42"/>
      <x:c r="B9" s="31"/>
      <x:c r="C9" s="29"/>
      <x:c r="D9" s="29"/>
      <x:c r="E9" s="29"/>
      <x:c r="F9" s="29"/>
      <x:c r="G9" s="41" t="str">
        <x:f>IF(COUNTA(B9:F9)=0,"",IF(A9="","MISSING ID","OK"))</x:f>
      </x:c>
    </x:row>
    <x:row r="10">
      <x:c r="A10" s="42"/>
      <x:c r="B10" s="31"/>
      <x:c r="C10" s="29"/>
      <x:c r="D10" s="29"/>
      <x:c r="E10" s="29"/>
      <x:c r="F10" s="29"/>
      <x:c r="G10" s="41" t="str">
        <x:f>IF(COUNTA(B10:F10)=0,"",IF(A10="","MISSING ID","OK"))</x:f>
      </x:c>
    </x:row>
    <x:row r="11">
      <x:c r="A11" s="42"/>
      <x:c r="B11" s="31"/>
      <x:c r="C11" s="29"/>
      <x:c r="D11" s="29"/>
      <x:c r="E11" s="29"/>
      <x:c r="F11" s="29"/>
      <x:c r="G11" s="41" t="str">
        <x:f>IF(COUNTA(B11:F11)=0,"",IF(A11="","MISSING ID","OK"))</x:f>
      </x:c>
    </x:row>
    <x:row r="12">
      <x:c r="A12" s="42"/>
      <x:c r="B12" s="31"/>
      <x:c r="C12" s="29"/>
      <x:c r="D12" s="29"/>
      <x:c r="E12" s="29"/>
      <x:c r="F12" s="29"/>
      <x:c r="G12" s="41" t="str">
        <x:f>IF(COUNTA(B12:F12)=0,"",IF(A12="","MISSING ID","OK"))</x:f>
      </x:c>
    </x:row>
    <x:row r="13">
      <x:c r="A13" s="42"/>
      <x:c r="B13" s="31"/>
      <x:c r="C13" s="29"/>
      <x:c r="D13" s="29"/>
      <x:c r="E13" s="29"/>
      <x:c r="F13" s="29"/>
      <x:c r="G13" s="41" t="str">
        <x:f>IF(COUNTA(B13:F13)=0,"",IF(A13="","MISSING ID","OK"))</x:f>
      </x:c>
    </x:row>
    <x:row r="14">
      <x:c r="A14" s="42"/>
      <x:c r="B14" s="31"/>
      <x:c r="C14" s="29"/>
      <x:c r="D14" s="29"/>
      <x:c r="E14" s="29"/>
      <x:c r="F14" s="29"/>
      <x:c r="G14" s="41" t="str">
        <x:f>IF(COUNTA(B14:F14)=0,"",IF(A14="","MISSING ID","OK"))</x:f>
      </x:c>
    </x:row>
    <x:row r="15">
      <x:c r="A15" s="42"/>
      <x:c r="B15" s="31"/>
      <x:c r="C15" s="29"/>
      <x:c r="D15" s="29"/>
      <x:c r="E15" s="29"/>
      <x:c r="F15" s="29"/>
      <x:c r="G15" s="41" t="str">
        <x:f>IF(COUNTA(B15:F15)=0,"",IF(A15="","MISSING ID","OK"))</x:f>
      </x:c>
    </x:row>
    <x:row r="16">
      <x:c r="A16" s="42"/>
      <x:c r="B16" s="31"/>
      <x:c r="C16" s="29"/>
      <x:c r="D16" s="29"/>
      <x:c r="E16" s="29"/>
      <x:c r="F16" s="29"/>
      <x:c r="G16" s="41" t="str">
        <x:f>IF(COUNTA(B16:F16)=0,"",IF(A16="","MISSING ID","OK"))</x:f>
      </x:c>
    </x:row>
    <x:row r="17">
      <x:c r="A17" s="42"/>
      <x:c r="B17" s="31"/>
      <x:c r="C17" s="29"/>
      <x:c r="D17" s="29"/>
      <x:c r="E17" s="29"/>
      <x:c r="F17" s="29"/>
      <x:c r="G17" s="41" t="str">
        <x:f>IF(COUNTA(B17:F17)=0,"",IF(A17="","MISSING ID","OK"))</x:f>
      </x:c>
    </x:row>
    <x:row r="18">
      <x:c r="A18" s="42"/>
      <x:c r="B18" s="31"/>
      <x:c r="C18" s="29"/>
      <x:c r="D18" s="29"/>
      <x:c r="E18" s="29"/>
      <x:c r="F18" s="29"/>
      <x:c r="G18" s="41" t="str">
        <x:f>IF(COUNTA(B18:F18)=0,"",IF(A18="","MISSING ID","OK"))</x:f>
      </x:c>
    </x:row>
    <x:row r="19">
      <x:c r="A19" s="42"/>
      <x:c r="B19" s="31"/>
      <x:c r="C19" s="29"/>
      <x:c r="D19" s="29"/>
      <x:c r="E19" s="29"/>
      <x:c r="F19" s="29"/>
      <x:c r="G19" s="41" t="str">
        <x:f>IF(COUNTA(B19:F19)=0,"",IF(A19="","MISSING ID","OK"))</x:f>
      </x:c>
    </x:row>
    <x:row r="20">
      <x:c r="A20" s="42"/>
      <x:c r="B20" s="31"/>
      <x:c r="C20" s="29"/>
      <x:c r="D20" s="29"/>
      <x:c r="E20" s="29"/>
      <x:c r="F20" s="29"/>
      <x:c r="G20" s="41" t="str">
        <x:f>IF(COUNTA(B20:F20)=0,"",IF(A20="","MISSING ID","OK"))</x:f>
      </x:c>
    </x:row>
    <x:row r="21">
      <x:c r="A21" s="42"/>
      <x:c r="B21" s="31"/>
      <x:c r="C21" s="29"/>
      <x:c r="D21" s="29"/>
      <x:c r="E21" s="29"/>
      <x:c r="F21" s="29"/>
      <x:c r="G21" s="41" t="str">
        <x:f>IF(COUNTA(B21:F21)=0,"",IF(A21="","MISSING ID","OK"))</x:f>
      </x:c>
    </x:row>
    <x:row r="22">
      <x:c r="A22" s="42"/>
      <x:c r="B22" s="31"/>
      <x:c r="C22" s="29"/>
      <x:c r="D22" s="29"/>
      <x:c r="E22" s="29"/>
      <x:c r="F22" s="29"/>
      <x:c r="G22" s="41" t="str">
        <x:f>IF(COUNTA(B22:F22)=0,"",IF(A22="","MISSING ID","OK"))</x:f>
      </x:c>
    </x:row>
    <x:row r="23">
      <x:c r="A23" s="42"/>
      <x:c r="B23" s="31"/>
      <x:c r="C23" s="29"/>
      <x:c r="D23" s="29"/>
      <x:c r="E23" s="29"/>
      <x:c r="F23" s="29"/>
      <x:c r="G23" s="41" t="str">
        <x:f>IF(COUNTA(B23:F23)=0,"",IF(A23="","MISSING ID","OK"))</x:f>
      </x:c>
    </x:row>
    <x:row r="24">
      <x:c r="A24" s="43"/>
      <x:c r="B24" s="45"/>
      <x:c r="C24" s="44"/>
      <x:c r="D24" s="44"/>
      <x:c r="E24" s="44"/>
      <x:c r="F24" s="44"/>
      <x:c r="G24" s="46" t="str">
        <x:f>IF(COUNTA(B24:F24)=0,"",IF(A24="","MISSING ID","OK"))</x:f>
      </x:c>
    </x:row>
    <x:row r="25">
      <x:c r="A25"/>
      <x:c r="B25"/>
      <x:c r="C25"/>
      <x:c r="D25"/>
      <x:c r="E25"/>
      <x:c r="F25"/>
      <x:c r="G25"/>
    </x:row>
  </x:sheetData>
  <x:mergeCells>
    <x:mergeCell ref="A1:G1"/>
    <x:mergeCell ref="A2:G2"/>
  </x:mergeCells>
  <x:dataValidations count="1">
    <x:dataValidation type="list" sqref="F4:F24">
      <x:formula1>"Not started,In progress,Awaiting approval,Complete,Retired"</x:formula1>
    </x:dataValidation>
  </x:dataValidations>
  <x:pageMargins left="0.7" right="0.7" top="0.75" bottom="0.75" header="0.3" footer="0.3"/>
  <x:tableParts count="1">
    <x:tablePart xmlns:r="http://schemas.openxmlformats.org/officeDocument/2006/relationships" r:id="R04ca5b85c76842d7"/>
  </x:tableParts>
</x:worksheet>
</file>