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b08f79433054480" /></Relationships>
</file>

<file path=xl/workbook.xml><?xml version="1.0" encoding="utf-8"?>
<x:workbook xmlns:x="http://schemas.openxmlformats.org/spreadsheetml/2006/main">
  <x:sheets>
    <x:sheet xmlns:r="http://schemas.openxmlformats.org/officeDocument/2006/relationships" name="Project Scope" sheetId="1" r:id="Rbafa288280c34374"/>
    <x:sheet xmlns:r="http://schemas.openxmlformats.org/officeDocument/2006/relationships" name="Literature" sheetId="2" r:id="Ra18cbb8ffa814d5d"/>
    <x:sheet xmlns:r="http://schemas.openxmlformats.org/officeDocument/2006/relationships" name="Evidence" sheetId="3" r:id="Rc4c506732d594db7"/>
    <x:sheet xmlns:r="http://schemas.openxmlformats.org/officeDocument/2006/relationships" name="Claim Map" sheetId="4" r:id="Rf0ea4db988a64aaa"/>
    <x:sheet xmlns:r="http://schemas.openxmlformats.org/officeDocument/2006/relationships" name="Comparability" sheetId="5" r:id="Rfe2bfb7fe271498d"/>
    <x:sheet xmlns:r="http://schemas.openxmlformats.org/officeDocument/2006/relationships" name="Unresolved" sheetId="6" r:id="R429ab00e569f4d1a"/>
    <x:sheet xmlns:r="http://schemas.openxmlformats.org/officeDocument/2006/relationships" name="Version Log" sheetId="7" r:id="R3e28144b3a8d47a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8">
    <x:font>
      <x:sz val="11"/>
      <x:name val="Carlito"/>
    </x:font>
    <x:font>
      <x:b/>
      <x:sz val="11"/>
      <x:color rgb="FFFFFFFF"/>
      <x:name val="Carlito"/>
    </x:font>
    <x:font>
      <x:i/>
      <x:sz val="11"/>
      <x:color rgb="FF1F2937"/>
      <x:name val="Carlito"/>
    </x:font>
    <x:font>
      <x:b/>
      <x:sz val="11"/>
      <x:color rgb="FF1F2937"/>
      <x:name val="Carlito"/>
    </x:font>
    <x:font>
      <x:sz val="11"/>
      <x:color rgb="FF1F2937"/>
      <x:name val="Carlito"/>
    </x:font>
    <x:font>
      <x:sz val="9"/>
      <x:color rgb="FF1F2937"/>
      <x:name val="Aptos"/>
    </x:font>
    <x:font>
      <x:i/>
      <x:sz val="9"/>
      <x:color rgb="FF1F2937"/>
      <x:name val="Aptos"/>
    </x:font>
    <x:font>
      <x:sz val="9"/>
      <x:name val="Aptos"/>
    </x:font>
  </x:fonts>
  <x:fills count="8">
    <x:fill>
      <x:patternFill patternType="none"/>
    </x:fill>
    <x:fill>
      <x:patternFill patternType="gray125"/>
    </x:fill>
    <x:fill>
      <x:patternFill patternType="solid">
        <x:fgColor rgb="FF1F4E78"/>
      </x:patternFill>
    </x:fill>
    <x:fill>
      <x:patternFill patternType="solid">
        <x:fgColor rgb="FFEFF5FA"/>
      </x:patternFill>
    </x:fill>
    <x:fill>
      <x:patternFill patternType="solid">
        <x:fgColor rgb="FFDCE6F1"/>
      </x:patternFill>
    </x:fill>
    <x:fill>
      <x:patternFill patternType="solid">
        <x:fgColor rgb="FFFFF2CC"/>
      </x:patternFill>
    </x:fill>
    <x:fill>
      <x:patternFill patternType="solid">
        <x:fgColor rgb="FFF3F4F6"/>
      </x:patternFill>
    </x:fill>
    <x:fill>
      <x:patternFill patternType="solid">
        <x:fgColor rgb="FFF7FAFC"/>
      </x:patternFill>
    </x:fill>
  </x:fills>
  <x:borders count="12">
    <x:border/>
    <x:border>
      <x:left style="thin">
        <x:color rgb="FFB7C9D6"/>
      </x:left>
      <x:top style="thin">
        <x:color rgb="FFB7C9D6"/>
      </x:top>
      <x:bottom style="thin">
        <x:color rgb="FFB7C9D6"/>
      </x:bottom>
    </x:border>
    <x:border>
      <x:top style="thin">
        <x:color rgb="FFB7C9D6"/>
      </x:top>
      <x:bottom style="thin">
        <x:color rgb="FFB7C9D6"/>
      </x:bottom>
    </x:border>
    <x:border>
      <x:right style="thin">
        <x:color rgb="FFB7C9D6"/>
      </x:right>
      <x:top style="thin">
        <x:color rgb="FFB7C9D6"/>
      </x:top>
      <x:bottom style="thin">
        <x:color rgb="FFB7C9D6"/>
      </x:bottom>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s>
  <x:cellStyleXfs count="1">
    <x:xf numFmtId="0" fontId="0" fillId="0" borderId="0"/>
  </x:cellStyleXfs>
  <x:cellXfs count="6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200" fontId="4" fillId="5"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1" fillId="2" borderId="4" xfId="0" applyNumberFormat="1" applyFont="1" applyFill="1" applyBorder="1" applyAlignment="1">
      <x:alignment horizontal="left" vertical="center"/>
    </x:xf>
    <x:xf numFmtId="0" fontId="0" fillId="0" borderId="5" xfId="0" applyNumberFormat="1" applyFont="1" applyFill="1" applyBorder="1"/>
    <x:xf numFmtId="0" fontId="0" fillId="0" borderId="6" xfId="0" applyNumberFormat="1" applyFont="1" applyFill="1" applyBorder="1"/>
    <x:xf numFmtId="0" fontId="2" fillId="3" borderId="7" xfId="0" applyNumberFormat="1" applyFont="1" applyFill="1" applyBorder="1" applyAlignment="1">
      <x:alignment vertical="center" wrapText="1"/>
    </x:xf>
    <x:xf numFmtId="0" fontId="0" fillId="0" borderId="0" xfId="0" applyNumberFormat="1" applyFont="1" applyFill="1" applyBorder="1"/>
    <x:xf numFmtId="0" fontId="0" fillId="0" borderId="8" xfId="0" applyNumberFormat="1" applyFont="1" applyFill="1" applyBorder="1"/>
    <x:xf numFmtId="0" fontId="4" fillId="5" borderId="7" xfId="0" applyNumberFormat="1" applyFont="1" applyFill="1" applyBorder="1" applyAlignment="1">
      <x:alignment vertical="top" wrapText="1"/>
    </x:xf>
    <x:xf numFmtId="0" fontId="2" fillId="6" borderId="8"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200" fontId="4" fillId="0" borderId="10" xfId="0" applyNumberFormat="1" applyFont="1" applyFill="1" applyBorder="1" applyAlignment="1">
      <x:alignment vertical="top" wrapText="1"/>
    </x:xf>
    <x:xf numFmtId="0" fontId="2" fillId="6" borderId="11" xfId="0" applyNumberFormat="1" applyFont="1" applyFill="1" applyBorder="1" applyAlignment="1">
      <x:alignment vertical="top" wrapText="1"/>
    </x:xf>
    <x:xf numFmtId="0" fontId="5" fillId="5" borderId="7" xfId="0" applyNumberFormat="1" applyFont="1" applyFill="1" applyBorder="1" applyAlignment="1">
      <x:alignment vertical="top" wrapText="1"/>
    </x:xf>
    <x:xf numFmtId="0" fontId="5" fillId="5" borderId="0" xfId="0" applyNumberFormat="1" applyFont="1" applyFill="1" applyBorder="1" applyAlignment="1">
      <x:alignment vertical="top" wrapText="1"/>
    </x:xf>
    <x:xf numFmtId="200" fontId="5" fillId="5" borderId="0" xfId="0" applyNumberFormat="1" applyFont="1" applyFill="1" applyBorder="1" applyAlignment="1">
      <x:alignment vertical="top" wrapText="1"/>
    </x:xf>
    <x:xf numFmtId="0" fontId="6" fillId="6" borderId="8"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0" fontId="5" fillId="7" borderId="7" xfId="0" applyNumberFormat="1" applyFont="1" applyFill="1" applyBorder="1" applyAlignment="1">
      <x:alignment vertical="top" wrapText="1"/>
    </x:xf>
    <x:xf numFmtId="0" fontId="5" fillId="7" borderId="0" xfId="0" applyNumberFormat="1" applyFont="1" applyFill="1" applyBorder="1" applyAlignment="1">
      <x:alignment vertical="top" wrapText="1"/>
    </x:xf>
    <x:xf numFmtId="200" fontId="5" fillId="7" borderId="0" xfId="0" applyNumberFormat="1" applyFont="1" applyFill="1" applyBorder="1" applyAlignment="1">
      <x:alignment vertical="top" wrapText="1"/>
    </x:xf>
    <x:xf numFmtId="0" fontId="6" fillId="7" borderId="8" xfId="0" applyNumberFormat="1" applyFont="1" applyFill="1" applyBorder="1" applyAlignment="1">
      <x:alignment vertical="top" wrapText="1"/>
    </x:xf>
    <x:xf numFmtId="0" fontId="0" fillId="0" borderId="0" xfId="0" applyNumberFormat="1" applyFont="1" applyFill="1" applyBorder="1" applyAlignment="1">
      <x:alignment vertical="top"/>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6" fillId="6" borderId="11"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7" borderId="0" xfId="0" applyNumberFormat="1" applyFont="1" applyFill="1" applyBorder="1" applyAlignment="1">
      <x:alignment vertical="top" wrapText="1"/>
    </x:xf>
    <x:xf numFmtId="200" fontId="5" fillId="0" borderId="1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b73e86e5d94b04" /><Relationship Type="http://schemas.openxmlformats.org/officeDocument/2006/relationships/theme" Target="/xl/theme/theme1.xml" Id="R8451ddc6f13f4dbf" /><Relationship Type="http://schemas.openxmlformats.org/officeDocument/2006/relationships/sharedStrings" Target="/xl/sharedStrings.xml" Id="R5b0c756478f34fce" /><Relationship Type="http://schemas.openxmlformats.org/officeDocument/2006/relationships/worksheet" Target="/xl/worksheets/sheet1.xml" Id="Rbafa288280c34374" /><Relationship Type="http://schemas.openxmlformats.org/officeDocument/2006/relationships/worksheet" Target="/xl/worksheets/sheet2.xml" Id="Ra18cbb8ffa814d5d" /><Relationship Type="http://schemas.openxmlformats.org/officeDocument/2006/relationships/worksheet" Target="/xl/worksheets/sheet3.xml" Id="Rc4c506732d594db7" /><Relationship Type="http://schemas.openxmlformats.org/officeDocument/2006/relationships/worksheet" Target="/xl/worksheets/sheet4.xml" Id="Rf0ea4db988a64aaa" /><Relationship Type="http://schemas.openxmlformats.org/officeDocument/2006/relationships/worksheet" Target="/xl/worksheets/sheet5.xml" Id="Rfe2bfb7fe271498d" /><Relationship Type="http://schemas.openxmlformats.org/officeDocument/2006/relationships/worksheet" Target="/xl/worksheets/sheet6.xml" Id="R429ab00e569f4d1a" /><Relationship Type="http://schemas.openxmlformats.org/officeDocument/2006/relationships/worksheet" Target="/xl/worksheets/sheet7.xml" Id="R3e28144b3a8d47af" /></Relationships>
</file>

<file path=xl/tables/table1.xml><?xml version="1.0" encoding="utf-8"?>
<x:table xmlns:x="http://schemas.openxmlformats.org/spreadsheetml/2006/main" id="1" name="ProjectScopeTable" displayName="ProjectScopeTable" ref="A3:K4" headerRowCount="1" totalsRowCount="0" totalsRowShown="0">
  <x:autoFilter ref="A3:K4"/>
  <x:tableColumns count="11">
    <x:tableColumn id="1" name="Decision ID"/>
    <x:tableColumn id="2" name="Scope element"/>
    <x:tableColumn id="3" name="Working decision"/>
    <x:tableColumn id="4" name="Rationale / evidence"/>
    <x:tableColumn id="5" name="Exclusions"/>
    <x:tableColumn id="6" name="Provisional classification axis"/>
    <x:tableColumn id="7" name="Review status"/>
    <x:tableColumn id="8" name="Owner"/>
    <x:tableColumn id="9" name="Decision date"/>
    <x:tableColumn id="10" name="Next action"/>
    <x:tableColumn id="11" name="ID check"/>
  </x:tableColumns>
  <x:tableStyleInfo name="TableStyleMedium2" showFirstColumn="0" showLastColumn="0" showRowStripes="1" showColumnStripes="0"/>
</x:table>
</file>

<file path=xl/tables/table2.xml><?xml version="1.0" encoding="utf-8"?>
<x:table xmlns:x="http://schemas.openxmlformats.org/spreadsheetml/2006/main" id="2" name="LiteratureTable" displayName="LiteratureTable" ref="A3:J4" headerRowCount="1" totalsRowCount="0" totalsRowShown="0">
  <x:autoFilter ref="A3:J4"/>
  <x:tableColumns count="10">
    <x:tableColumn id="1" name="Literature ID"/>
    <x:tableColumn id="2" name="Citation"/>
    <x:tableColumn id="3" name="Source URL"/>
    <x:tableColumn id="4" name="Access / traceability status"/>
    <x:tableColumn id="5" name="Inclusion decision"/>
    <x:tableColumn id="6" name="Review status"/>
    <x:tableColumn id="7" name="Application context"/>
    <x:tableColumn id="8" name="Scheduling problem / notation"/>
    <x:tableColumn id="9" name="Notes / taxonomy extension detail"/>
    <x:tableColumn id="10" name="ID check"/>
  </x:tableColumns>
  <x:tableStyleInfo name="TableStyleMedium2" showFirstColumn="0" showLastColumn="0" showRowStripes="1" showColumnStripes="0"/>
</x:table>
</file>

<file path=xl/tables/table3.xml><?xml version="1.0" encoding="utf-8"?>
<x:table xmlns:x="http://schemas.openxmlformats.org/spreadsheetml/2006/main" id="3" name="EvidenceTable" displayName="EvidenceTable" ref="A3:BB4" headerRowCount="1" totalsRowCount="0" totalsRowShown="0">
  <x:autoFilter ref="A3:BB4"/>
  <x:tableColumns count="54">
    <x:tableColumn id="1" name="Evidence ID"/>
    <x:tableColumn id="2" name="Literature ID"/>
    <x:tableColumn id="3" name="Source location"/>
    <x:tableColumn id="4" name="Access / traceability status"/>
    <x:tableColumn id="5" name="Scheduling problem / notation"/>
    <x:tableColumn id="6" name="Application context"/>
    <x:tableColumn id="7" name="Decision object"/>
    <x:tableColumn id="8" name="System entities"/>
    <x:tableColumn id="9" name="Decision variables"/>
    <x:tableColumn id="10" name="Objectives"/>
    <x:tableColumn id="11" name="Constraints"/>
    <x:tableColumn id="12" name="Assumptions"/>
    <x:tableColumn id="13" name="Environment"/>
    <x:tableColumn id="14" name="Offline / online status"/>
    <x:tableColumn id="15" name="Event detection / rescheduling trigger"/>
    <x:tableColumn id="16" name="Disturbance model"/>
    <x:tableColumn id="17" name="Disturbance timing"/>
    <x:tableColumn id="18" name="Disturbance duration"/>
    <x:tableColumn id="19" name="Affected resource"/>
    <x:tableColumn id="20" name="Recovery policy"/>
    <x:tableColumn id="21" name="Coupling"/>
    <x:tableColumn id="22" name="Solution family"/>
    <x:tableColumn id="23" name="Evaluation objective"/>
    <x:tableColumn id="24" name="Taxonomy extension detail"/>
    <x:tableColumn id="25" name="Encoding / state"/>
    <x:tableColumn id="26" name="Decoder / environment transition"/>
    <x:tableColumn id="27" name="Repair / conflict handling"/>
    <x:tableColumn id="28" name="Termination rule"/>
    <x:tableColumn id="29" name="Main algorithm loop"/>
    <x:tableColumn id="30" name="Improvement insertion point"/>
    <x:tableColumn id="31" name="Dataset / instance source"/>
    <x:tableColumn id="32" name="Jobs"/>
    <x:tableColumn id="33" name="Operations"/>
    <x:tableColumn id="34" name="Machines"/>
    <x:tableColumn id="35" name="AGVs"/>
    <x:tableColumn id="36" name="Layout"/>
    <x:tableColumn id="37" name="Scale tier"/>
    <x:tableColumn id="38" name="Baselines"/>
    <x:tableColumn id="39" name="Parameter budget"/>
    <x:tableColumn id="40" name="Stopping condition"/>
    <x:tableColumn id="41" name="Independent runs"/>
    <x:tableColumn id="42" name="Random seeds"/>
    <x:tableColumn id="43" name="Statistical tests"/>
    <x:tableColumn id="44" name="Metrics / Pareto reference point"/>
    <x:tableColumn id="45" name="Code / data / parameters"/>
    <x:tableColumn id="46" name="Author conclusion"/>
    <x:tableColumn id="47" name="Direct evidence"/>
    <x:tableColumn id="48" name="AI inference"/>
    <x:tableColumn id="49" name="Limitation"/>
    <x:tableColumn id="50" name="Unresolved verification"/>
    <x:tableColumn id="51" name="Evidence class"/>
    <x:tableColumn id="52" name="Evidence strength"/>
    <x:tableColumn id="53" name="Review status"/>
    <x:tableColumn id="54" name="ID check"/>
  </x:tableColumns>
  <x:tableStyleInfo name="TableStyleMedium2" showFirstColumn="0" showLastColumn="0" showRowStripes="1" showColumnStripes="0"/>
</x:table>
</file>

<file path=xl/tables/table4.xml><?xml version="1.0" encoding="utf-8"?>
<x:table xmlns:x="http://schemas.openxmlformats.org/spreadsheetml/2006/main" id="4" name="ClaimMapTable" displayName="ClaimMapTable" ref="A3:I4" headerRowCount="1" totalsRowCount="0" totalsRowShown="0">
  <x:autoFilter ref="A3:I4"/>
  <x:tableColumns count="9">
    <x:tableColumn id="1" name="Claim ID"/>
    <x:tableColumn id="2" name="Evidence ID"/>
    <x:tableColumn id="3" name="Claim text"/>
    <x:tableColumn id="4" name="Evidence class"/>
    <x:tableColumn id="5" name="Evidence strength"/>
    <x:tableColumn id="6" name="Permitted wording"/>
    <x:tableColumn id="7" name="Comparison / limitation"/>
    <x:tableColumn id="8" name="Review status"/>
    <x:tableColumn id="9" name="ID check"/>
  </x:tableColumns>
  <x:tableStyleInfo name="TableStyleMedium2" showFirstColumn="0" showLastColumn="0" showRowStripes="1" showColumnStripes="0"/>
</x:table>
</file>

<file path=xl/tables/table5.xml><?xml version="1.0" encoding="utf-8"?>
<x:table xmlns:x="http://schemas.openxmlformats.org/spreadsheetml/2006/main" id="5" name="ComparabilityTable" displayName="ComparabilityTable" ref="A3:N4" headerRowCount="1" totalsRowCount="0" totalsRowShown="0">
  <x:autoFilter ref="A3:N4"/>
  <x:tableColumns count="14">
    <x:tableColumn id="1" name="Comparison ID"/>
    <x:tableColumn id="2" name="Literature / evidence A"/>
    <x:tableColumn id="3" name="Literature / evidence B"/>
    <x:tableColumn id="4" name="Problem / objective compatible?"/>
    <x:tableColumn id="5" name="Instance / scale compatible?"/>
    <x:tableColumn id="6" name="Constraints / disturbance / information compatible?"/>
    <x:tableColumn id="7" name="Budget / stopping condition compatible?"/>
    <x:tableColumn id="8" name="Metric / normalization / reference point compatible?"/>
    <x:tableColumn id="9" name="Runs / statistics compatible?"/>
    <x:tableColumn id="10" name="Comparison verdict"/>
    <x:tableColumn id="11" name="Reason if not DIRECT"/>
    <x:tableColumn id="12" name="Permitted comparison"/>
    <x:tableColumn id="13" name="Review status"/>
    <x:tableColumn id="14" name="Reason check"/>
  </x:tableColumns>
  <x:tableStyleInfo name="TableStyleMedium2" showFirstColumn="0" showLastColumn="0" showRowStripes="1" showColumnStripes="0"/>
</x:table>
</file>

<file path=xl/tables/table6.xml><?xml version="1.0" encoding="utf-8"?>
<x:table xmlns:x="http://schemas.openxmlformats.org/spreadsheetml/2006/main" id="6" name="UnresolvedTable" displayName="UnresolvedTable" ref="A3:L4" headerRowCount="1" totalsRowCount="0" totalsRowShown="0">
  <x:autoFilter ref="A3:L4"/>
  <x:tableColumns count="12">
    <x:tableColumn id="1" name="Issue ID"/>
    <x:tableColumn id="2" name="Related Literature ID"/>
    <x:tableColumn id="3" name="Related Evidence ID"/>
    <x:tableColumn id="4" name="Related Claim ID"/>
    <x:tableColumn id="5" name="Issue / missing detail"/>
    <x:tableColumn id="6" name="Why it matters"/>
    <x:tableColumn id="7" name="Verification source / next action"/>
    <x:tableColumn id="8" name="Priority"/>
    <x:tableColumn id="9" name="Review status"/>
    <x:tableColumn id="10" name="Owner"/>
    <x:tableColumn id="11" name="Date logged"/>
    <x:tableColumn id="12" name="ID check"/>
  </x:tableColumns>
  <x:tableStyleInfo name="TableStyleMedium2" showFirstColumn="0" showLastColumn="0" showRowStripes="1" showColumnStripes="0"/>
</x:table>
</file>

<file path=xl/tables/table7.xml><?xml version="1.0" encoding="utf-8"?>
<x:table xmlns:x="http://schemas.openxmlformats.org/spreadsheetml/2006/main" id="7" name="VersionLogTable" displayName="VersionLogTable" ref="A3:G4" headerRowCount="1" totalsRowCount="0" totalsRowShown="0">
  <x:autoFilter ref="A3:G4"/>
  <x:tableColumns count="7">
    <x:tableColumn id="1" name="Version"/>
    <x:tableColumn id="2" name="Date"/>
    <x:tableColumn id="3" name="Change summary"/>
    <x:tableColumn id="4" name="Scope / evidence impact"/>
    <x:tableColumn id="5" name="Reviewed by"/>
    <x:tableColumn id="6" name="Approval / review status"/>
    <x:tableColumn id="7" name="Version chec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011566870114c59" /></Relationships>
</file>

<file path=xl/worksheets/_rels/sheet2.xml.rels>&#65279;<?xml version="1.0" encoding="utf-8"?><Relationships xmlns="http://schemas.openxmlformats.org/package/2006/relationships"><Relationship Type="http://schemas.openxmlformats.org/officeDocument/2006/relationships/table" Target="/xl/tables/table2.xml" Id="R2ac0566e7eda4574" /></Relationships>
</file>

<file path=xl/worksheets/_rels/sheet3.xml.rels>&#65279;<?xml version="1.0" encoding="utf-8"?><Relationships xmlns="http://schemas.openxmlformats.org/package/2006/relationships"><Relationship Type="http://schemas.openxmlformats.org/officeDocument/2006/relationships/table" Target="/xl/tables/table3.xml" Id="Rdb27544175ec44e3" /></Relationships>
</file>

<file path=xl/worksheets/_rels/sheet4.xml.rels>&#65279;<?xml version="1.0" encoding="utf-8"?><Relationships xmlns="http://schemas.openxmlformats.org/package/2006/relationships"><Relationship Type="http://schemas.openxmlformats.org/officeDocument/2006/relationships/table" Target="/xl/tables/table4.xml" Id="R7e31ec4078f34e80" /></Relationships>
</file>

<file path=xl/worksheets/_rels/sheet5.xml.rels>&#65279;<?xml version="1.0" encoding="utf-8"?><Relationships xmlns="http://schemas.openxmlformats.org/package/2006/relationships"><Relationship Type="http://schemas.openxmlformats.org/officeDocument/2006/relationships/table" Target="/xl/tables/table5.xml" Id="R7c367fa117ec4f01" /></Relationships>
</file>

<file path=xl/worksheets/_rels/sheet6.xml.rels>&#65279;<?xml version="1.0" encoding="utf-8"?><Relationships xmlns="http://schemas.openxmlformats.org/package/2006/relationships"><Relationship Type="http://schemas.openxmlformats.org/officeDocument/2006/relationships/table" Target="/xl/tables/table6.xml" Id="R04b3e26e2fd54d15" /></Relationships>
</file>

<file path=xl/worksheets/_rels/sheet7.xml.rels>&#65279;<?xml version="1.0" encoding="utf-8"?><Relationships xmlns="http://schemas.openxmlformats.org/package/2006/relationships"><Relationship Type="http://schemas.openxmlformats.org/officeDocument/2006/relationships/table" Target="/xl/tables/table7.xml" Id="Red21a85e0c124ea1" /></Relationships>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24" hidden="0" customWidth="1"/>
    <x:col min="3" max="3" width="34" hidden="0" customWidth="1"/>
    <x:col min="4" max="4" width="34" hidden="0" customWidth="1"/>
    <x:col min="5" max="5" width="28" hidden="0" customWidth="1"/>
    <x:col min="6" max="6" width="24" hidden="0" customWidth="1"/>
    <x:col min="7" max="7" width="17" hidden="0" customWidth="1"/>
    <x:col min="8" max="8" width="14" hidden="0" customWidth="1"/>
    <x:col min="9" max="9" width="13" hidden="0" customWidth="1"/>
    <x:col min="10" max="10" width="28" hidden="0" customWidth="1"/>
    <x:col min="11" max="11" width="15" hidden="0" customWidth="1"/>
  </x:cols>
  <x:sheetData>
    <x:row r="1" ht="24" customHeight="1">
      <x:c r="A1" s="34" t="str">
        <x:v>Project Scope</x:v>
      </x:c>
      <x:c r="B1" s="35"/>
      <x:c r="C1" s="35"/>
      <x:c r="D1" s="35"/>
      <x:c r="E1" s="35"/>
      <x:c r="F1" s="35"/>
      <x:c r="G1" s="35"/>
      <x:c r="H1" s="35"/>
      <x:c r="I1" s="35"/>
      <x:c r="J1" s="35"/>
      <x:c r="K1" s="36"/>
    </x:row>
    <x:row r="2" ht="24" customHeight="1">
      <x:c r="A2" s="37" t="str">
        <x:v>Editable review matrix. Use controlled values where available; select other and fill the labelled taxonomy-extension detail only when needed.</x:v>
      </x:c>
      <x:c r="B2" s="38"/>
      <x:c r="C2" s="38"/>
      <x:c r="D2" s="38"/>
      <x:c r="E2" s="38"/>
      <x:c r="F2" s="38"/>
      <x:c r="G2" s="38"/>
      <x:c r="H2" s="38"/>
      <x:c r="I2" s="38"/>
      <x:c r="J2" s="38"/>
      <x:c r="K2" s="39"/>
    </x:row>
    <x:row r="3" ht="24" customHeight="1">
      <x:c r="A3" s="20" t="str">
        <x:v>Decision ID</x:v>
      </x:c>
      <x:c r="B3" s="21" t="str">
        <x:v>Scope element</x:v>
      </x:c>
      <x:c r="C3" s="21" t="str">
        <x:v>Working decision</x:v>
      </x:c>
      <x:c r="D3" s="21" t="str">
        <x:v>Rationale / evidence</x:v>
      </x:c>
      <x:c r="E3" s="21" t="str">
        <x:v>Exclusions</x:v>
      </x:c>
      <x:c r="F3" s="21" t="str">
        <x:v>Provisional classification axis</x:v>
      </x:c>
      <x:c r="G3" s="21" t="str">
        <x:v>Review status</x:v>
      </x:c>
      <x:c r="H3" s="21" t="str">
        <x:v>Owner</x:v>
      </x:c>
      <x:c r="I3" s="21" t="str">
        <x:v>Decision date</x:v>
      </x:c>
      <x:c r="J3" s="21" t="str">
        <x:v>Next action</x:v>
      </x:c>
      <x:c r="K3" s="22" t="str">
        <x:v>ID check</x:v>
      </x:c>
    </x:row>
    <x:row r="4" ht="48" customHeight="1">
      <x:c r="A4" s="47" t="str">
        <x:v>D001</x:v>
      </x:c>
      <x:c r="B4" s="48" t="str">
        <x:v>Review scope</x:v>
      </x:c>
      <x:c r="C4" s="48" t="str">
        <x:v>Static machine–AGV innovation review; step 4 search and screening only</x:v>
      </x:c>
      <x:c r="D4" s="48" t="str">
        <x:v>Frozen protocol P02-SEARCH-v1.0</x:v>
      </x:c>
      <x:c r="E4" s="48" t="str">
        <x:v>No novelty conclusion; no performance ranking</x:v>
      </x:c>
      <x:c r="F4" s="48" t="str">
        <x:v>Region × neighborhood × budget</x:v>
      </x:c>
      <x:c r="G4" s="48" t="str">
        <x:v>Search complete</x:v>
      </x:c>
      <x:c r="H4" s="48" t="str">
        <x:v>Codex</x:v>
      </x:c>
      <x:c r="I4" s="49" t="n">
        <x:v>46268</x:v>
      </x:c>
      <x:c r="J4" s="48" t="str">
        <x:v>Proceed to full-text verification</x:v>
      </x:c>
      <x:c r="K4" s="50" t="str">
        <x:f>IF(COUNTA(B4:J4)=0,"",IF(A4="","MISSING ID",IFERROR(IF(AND(LEFT(A4,1)="D",LEN(A4)=4,ISNUMBER(VALUE(RIGHT(A4,3)))),"OK","CHECK ID"),"CHECK ID")))</x:f>
        <x:v>OK</x:v>
      </x:c>
    </x:row>
    <x:row r="5" ht="48" customHeight="1">
      <x:c r="A5" s="54" t="str">
        <x:v>D002</x:v>
      </x:c>
      <x:c r="B5" s="55" t="str">
        <x:v>Search boundary</x:v>
      </x:c>
      <x:c r="C5" s="55" t="str">
        <x:v>S1–S6; 2000-01-01 to 2026-09-02</x:v>
      </x:c>
      <x:c r="D5" s="55" t="str">
        <x:v>OpenAlex, Crossref, Semantic Scholar, arXiv and citation tracing</x:v>
      </x:c>
      <x:c r="E5" s="55" t="str">
        <x:v>Chinese databases unavailable in current environment</x:v>
      </x:c>
      <x:c r="F5" s="55" t="str">
        <x:v>Database × query</x:v>
      </x:c>
      <x:c r="G5" s="55" t="str">
        <x:v>Logged</x:v>
      </x:c>
      <x:c r="H5" s="55" t="str">
        <x:v>Codex</x:v>
      </x:c>
      <x:c r="I5" s="56" t="n">
        <x:v>46268</x:v>
      </x:c>
      <x:c r="J5" s="55" t="str">
        <x:v>Run update search before submission</x:v>
      </x:c>
      <x:c r="K5" s="57" t="str">
        <x:f>IF(COUNTA(B5:J5)=0,"",IF(A5="","MISSING ID",IFERROR(IF(AND(LEFT(A5,1)="D",LEN(A5)=4,ISNUMBER(VALUE(RIGHT(A5,3)))),"OK","CHECK ID"),"CHECK ID")))</x:f>
        <x:v>OK</x:v>
      </x:c>
    </x:row>
    <x:row r="6" ht="48" customHeight="1">
      <x:c r="A6" s="51" t="str">
        <x:v>D003</x:v>
      </x:c>
      <x:c r="B6" s="52" t="str">
        <x:v>Evidence boundary</x:v>
      </x:c>
      <x:c r="C6" s="52" t="str">
        <x:v>Metadata and abstract evidence is provisional</x:v>
      </x:c>
      <x:c r="D6" s="52" t="str">
        <x:v>Step 4 does not substitute for original full-text extraction</x:v>
      </x:c>
      <x:c r="E6" s="52" t="str">
        <x:v>No DIRECT comparison unless six comparability dimensions pass</x:v>
      </x:c>
      <x:c r="F6" s="52" t="str">
        <x:v>Evidence class × strength</x:v>
      </x:c>
      <x:c r="G6" s="52" t="str">
        <x:v>Applied</x:v>
      </x:c>
      <x:c r="H6" s="52" t="str">
        <x:v>Codex</x:v>
      </x:c>
      <x:c r="I6" s="53" t="n">
        <x:v>46268</x:v>
      </x:c>
      <x:c r="J6" s="52" t="str">
        <x:v>Verify included candidates against original sources</x:v>
      </x:c>
      <x:c r="K6" s="50" t="str">
        <x:f>IF(COUNTA(B6:J6)=0,"",IF(A6="","MISSING ID",IFERROR(IF(AND(LEFT(A6,1)="D",LEN(A6)=4,ISNUMBER(VALUE(RIGHT(A6,3)))),"OK","CHECK ID"),"CHECK ID")))</x:f>
        <x:v>OK</x:v>
      </x:c>
    </x:row>
    <x:row r="7">
      <x:c r="A7" s="42"/>
      <x:c r="B7" s="29"/>
      <x:c r="C7" s="29"/>
      <x:c r="D7" s="29"/>
      <x:c r="E7" s="29"/>
      <x:c r="F7" s="29"/>
      <x:c r="G7" s="29"/>
      <x:c r="H7" s="29"/>
      <x:c r="I7" s="31"/>
      <x:c r="J7" s="29"/>
      <x:c r="K7" s="41"/>
    </x:row>
    <x:row r="8">
      <x:c r="A8" s="42"/>
      <x:c r="B8" s="29"/>
      <x:c r="C8" s="29"/>
      <x:c r="D8" s="29"/>
      <x:c r="E8" s="29"/>
      <x:c r="F8" s="29"/>
      <x:c r="G8" s="29"/>
      <x:c r="H8" s="29"/>
      <x:c r="I8" s="31"/>
      <x:c r="J8" s="29"/>
      <x:c r="K8" s="41"/>
    </x:row>
    <x:row r="9">
      <x:c r="A9" s="42"/>
      <x:c r="B9" s="29"/>
      <x:c r="C9" s="29"/>
      <x:c r="D9" s="29"/>
      <x:c r="E9" s="29"/>
      <x:c r="F9" s="29"/>
      <x:c r="G9" s="29"/>
      <x:c r="H9" s="29"/>
      <x:c r="I9" s="31"/>
      <x:c r="J9" s="29"/>
      <x:c r="K9" s="41"/>
    </x:row>
    <x:row r="10">
      <x:c r="A10" s="42"/>
      <x:c r="B10" s="29"/>
      <x:c r="C10" s="29"/>
      <x:c r="D10" s="29"/>
      <x:c r="E10" s="29"/>
      <x:c r="F10" s="29"/>
      <x:c r="G10" s="29"/>
      <x:c r="H10" s="29"/>
      <x:c r="I10" s="31"/>
      <x:c r="J10" s="29"/>
      <x:c r="K10" s="41"/>
    </x:row>
    <x:row r="11">
      <x:c r="A11" s="42"/>
      <x:c r="B11" s="29"/>
      <x:c r="C11" s="29"/>
      <x:c r="D11" s="29"/>
      <x:c r="E11" s="29"/>
      <x:c r="F11" s="29"/>
      <x:c r="G11" s="29"/>
      <x:c r="H11" s="29"/>
      <x:c r="I11" s="31"/>
      <x:c r="J11" s="29"/>
      <x:c r="K11" s="41"/>
    </x:row>
    <x:row r="12">
      <x:c r="A12" s="42"/>
      <x:c r="B12" s="29"/>
      <x:c r="C12" s="29"/>
      <x:c r="D12" s="29"/>
      <x:c r="E12" s="29"/>
      <x:c r="F12" s="29"/>
      <x:c r="G12" s="29"/>
      <x:c r="H12" s="29"/>
      <x:c r="I12" s="31"/>
      <x:c r="J12" s="29"/>
      <x:c r="K12" s="41"/>
    </x:row>
    <x:row r="13">
      <x:c r="A13" s="42"/>
      <x:c r="B13" s="29"/>
      <x:c r="C13" s="29"/>
      <x:c r="D13" s="29"/>
      <x:c r="E13" s="29"/>
      <x:c r="F13" s="29"/>
      <x:c r="G13" s="29"/>
      <x:c r="H13" s="29"/>
      <x:c r="I13" s="31"/>
      <x:c r="J13" s="29"/>
      <x:c r="K13" s="41"/>
    </x:row>
    <x:row r="14">
      <x:c r="A14" s="42"/>
      <x:c r="B14" s="29"/>
      <x:c r="C14" s="29"/>
      <x:c r="D14" s="29"/>
      <x:c r="E14" s="29"/>
      <x:c r="F14" s="29"/>
      <x:c r="G14" s="29"/>
      <x:c r="H14" s="29"/>
      <x:c r="I14" s="31"/>
      <x:c r="J14" s="29"/>
      <x:c r="K14" s="41"/>
    </x:row>
    <x:row r="15">
      <x:c r="A15" s="42"/>
      <x:c r="B15" s="29"/>
      <x:c r="C15" s="29"/>
      <x:c r="D15" s="29"/>
      <x:c r="E15" s="29"/>
      <x:c r="F15" s="29"/>
      <x:c r="G15" s="29"/>
      <x:c r="H15" s="29"/>
      <x:c r="I15" s="31"/>
      <x:c r="J15" s="29"/>
      <x:c r="K15" s="41"/>
    </x:row>
    <x:row r="16">
      <x:c r="A16" s="42"/>
      <x:c r="B16" s="29"/>
      <x:c r="C16" s="29"/>
      <x:c r="D16" s="29"/>
      <x:c r="E16" s="29"/>
      <x:c r="F16" s="29"/>
      <x:c r="G16" s="29"/>
      <x:c r="H16" s="29"/>
      <x:c r="I16" s="31"/>
      <x:c r="J16" s="29"/>
      <x:c r="K16" s="41"/>
    </x:row>
    <x:row r="17">
      <x:c r="A17" s="42"/>
      <x:c r="B17" s="29"/>
      <x:c r="C17" s="29"/>
      <x:c r="D17" s="29"/>
      <x:c r="E17" s="29"/>
      <x:c r="F17" s="29"/>
      <x:c r="G17" s="29"/>
      <x:c r="H17" s="29"/>
      <x:c r="I17" s="31"/>
      <x:c r="J17" s="29"/>
      <x:c r="K17" s="41"/>
    </x:row>
    <x:row r="18">
      <x:c r="A18" s="42"/>
      <x:c r="B18" s="29"/>
      <x:c r="C18" s="29"/>
      <x:c r="D18" s="29"/>
      <x:c r="E18" s="29"/>
      <x:c r="F18" s="29"/>
      <x:c r="G18" s="29"/>
      <x:c r="H18" s="29"/>
      <x:c r="I18" s="31"/>
      <x:c r="J18" s="29"/>
      <x:c r="K18" s="41"/>
    </x:row>
    <x:row r="19">
      <x:c r="A19" s="42"/>
      <x:c r="B19" s="29"/>
      <x:c r="C19" s="29"/>
      <x:c r="D19" s="29"/>
      <x:c r="E19" s="29"/>
      <x:c r="F19" s="29"/>
      <x:c r="G19" s="29"/>
      <x:c r="H19" s="29"/>
      <x:c r="I19" s="31"/>
      <x:c r="J19" s="29"/>
      <x:c r="K19" s="41"/>
    </x:row>
    <x:row r="20">
      <x:c r="A20" s="42"/>
      <x:c r="B20" s="29"/>
      <x:c r="C20" s="29"/>
      <x:c r="D20" s="29"/>
      <x:c r="E20" s="29"/>
      <x:c r="F20" s="29"/>
      <x:c r="G20" s="29"/>
      <x:c r="H20" s="29"/>
      <x:c r="I20" s="31"/>
      <x:c r="J20" s="29"/>
      <x:c r="K20" s="41"/>
    </x:row>
    <x:row r="21">
      <x:c r="A21" s="42"/>
      <x:c r="B21" s="29"/>
      <x:c r="C21" s="29"/>
      <x:c r="D21" s="29"/>
      <x:c r="E21" s="29"/>
      <x:c r="F21" s="29"/>
      <x:c r="G21" s="29"/>
      <x:c r="H21" s="29"/>
      <x:c r="I21" s="31"/>
      <x:c r="J21" s="29"/>
      <x:c r="K21" s="41"/>
    </x:row>
    <x:row r="22">
      <x:c r="A22" s="42"/>
      <x:c r="B22" s="29"/>
      <x:c r="C22" s="29"/>
      <x:c r="D22" s="29"/>
      <x:c r="E22" s="29"/>
      <x:c r="F22" s="29"/>
      <x:c r="G22" s="29"/>
      <x:c r="H22" s="29"/>
      <x:c r="I22" s="31"/>
      <x:c r="J22" s="29"/>
      <x:c r="K22" s="41"/>
    </x:row>
    <x:row r="23">
      <x:c r="A23" s="42"/>
      <x:c r="B23" s="29"/>
      <x:c r="C23" s="29"/>
      <x:c r="D23" s="29"/>
      <x:c r="E23" s="29"/>
      <x:c r="F23" s="29"/>
      <x:c r="G23" s="29"/>
      <x:c r="H23" s="29"/>
      <x:c r="I23" s="31"/>
      <x:c r="J23" s="29"/>
      <x:c r="K23" s="41"/>
    </x:row>
    <x:row r="24">
      <x:c r="A24" s="43"/>
      <x:c r="B24" s="44"/>
      <x:c r="C24" s="44"/>
      <x:c r="D24" s="44"/>
      <x:c r="E24" s="44"/>
      <x:c r="F24" s="44"/>
      <x:c r="G24" s="44"/>
      <x:c r="H24" s="44"/>
      <x:c r="I24" s="45"/>
      <x:c r="J24" s="44"/>
      <x:c r="K24" s="46" t="str">
        <x:f>IF(COUNTA(B24:J24)=0,"",IF(A24="","MISSING ID",IFERROR(IF(AND(LEFT(A24,1)="D",LEN(A24)=4,ISNUMBER(VALUE(RIGHT(A24,3)))),"OK","CHECK ID"),"CHECK ID")))</x:f>
      </x:c>
    </x:row>
  </x:sheetData>
  <x:mergeCells>
    <x:mergeCell ref="A1:K1"/>
    <x:mergeCell ref="A2:K2"/>
  </x:mergeCells>
  <x:dataValidations count="1">
    <x:dataValidation type="list" sqref="G4:G24">
      <x:formula1>"Not started,In progress,Awaiting approval,Complete,Retired"</x:formula1>
    </x:dataValidation>
  </x:dataValidations>
  <x:pageMargins left="0.7" right="0.7" top="0.75" bottom="0.75" header="0.3" footer="0.3"/>
  <x:tableParts count="1">
    <x:tablePart xmlns:r="http://schemas.openxmlformats.org/officeDocument/2006/relationships" r:id="Ra011566870114c5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52" hidden="0" customWidth="1"/>
    <x:col min="3" max="3" width="34" hidden="0" customWidth="1"/>
    <x:col min="4" max="4" width="22" hidden="0" customWidth="1"/>
    <x:col min="5" max="5" width="22" hidden="0" customWidth="1"/>
    <x:col min="6" max="6" width="22" hidden="0" customWidth="1"/>
    <x:col min="7" max="7" width="26" hidden="0" customWidth="1"/>
    <x:col min="8" max="8" width="26" hidden="0" customWidth="1"/>
    <x:col min="9" max="9" width="26" hidden="0" customWidth="1"/>
    <x:col min="10" max="10" width="15" hidden="0" customWidth="1"/>
  </x:cols>
  <x:sheetData>
    <x:row r="1" ht="24" customHeight="1">
      <x:c r="A1" s="34" t="str">
        <x:v>Literature</x:v>
      </x:c>
      <x:c r="B1" s="35"/>
      <x:c r="C1" s="35"/>
      <x:c r="D1" s="35"/>
      <x:c r="E1" s="35"/>
      <x:c r="F1" s="35"/>
      <x:c r="G1" s="35"/>
      <x:c r="H1" s="35"/>
      <x:c r="I1" s="35"/>
      <x:c r="J1" s="36"/>
    </x:row>
    <x:row r="2" ht="24" customHeight="1">
      <x:c r="A2" s="37" t="str">
        <x:v>Editable review matrix. Use controlled values where available; select other and fill the labelled taxonomy-extension detail only when needed.</x:v>
      </x:c>
      <x:c r="B2" s="38"/>
      <x:c r="C2" s="38"/>
      <x:c r="D2" s="38"/>
      <x:c r="E2" s="38"/>
      <x:c r="F2" s="38"/>
      <x:c r="G2" s="38"/>
      <x:c r="H2" s="38"/>
      <x:c r="I2" s="38"/>
      <x:c r="J2" s="39"/>
    </x:row>
    <x:row r="3" ht="24" customHeight="1">
      <x:c r="A3" s="20" t="str">
        <x:v>Literature ID</x:v>
      </x:c>
      <x:c r="B3" s="21" t="str">
        <x:v>Citation</x:v>
      </x:c>
      <x:c r="C3" s="21" t="str">
        <x:v>Source URL</x:v>
      </x:c>
      <x:c r="D3" s="21" t="str">
        <x:v>Access / traceability status</x:v>
      </x:c>
      <x:c r="E3" s="21" t="str">
        <x:v>Inclusion decision</x:v>
      </x:c>
      <x:c r="F3" s="21" t="str">
        <x:v>Review status</x:v>
      </x:c>
      <x:c r="G3" s="21" t="str">
        <x:v>Application context</x:v>
      </x:c>
      <x:c r="H3" s="21" t="str">
        <x:v>Scheduling problem / notation</x:v>
      </x:c>
      <x:c r="I3" s="21" t="str">
        <x:v>Notes / taxonomy extension detail</x:v>
      </x:c>
      <x:c r="J3" s="22" t="str">
        <x:v>ID check</x:v>
      </x:c>
    </x:row>
    <x:row r="4" ht="48" customHeight="1">
      <x:c r="A4" s="47" t="str">
        <x:v>L030</x:v>
      </x:c>
      <x:c r="B4" s="48" t="str">
        <x:v>Tianen Li; Kai Chen; Xiaojun Shi; Shicheng Yu; Jiaren Liu (2026). A deep Q-network enhanced variable neighborhood search algorithm based on NSGA-II for the multi-AGV flexible job shop scheduling problem with battery constraint. Computers &amp; Operations Research. DOI: 10.1016/j.cor.2026.107500</x:v>
      </x:c>
      <x:c r="C4" s="48" t="str">
        <x:v>https://doi.org/10.1016/j.cor.2026.107500</x:v>
      </x:c>
      <x:c r="D4" s="48" t="str">
        <x:v>Metadata retrieved; abstract unavailable</x:v>
      </x:c>
      <x:c r="E4" s="48" t="str">
        <x:v>Provisional include — title/abstract screen</x:v>
      </x:c>
      <x:c r="F4" s="48" t="str">
        <x:v>Title/abstract screened; full-text pending</x:v>
      </x:c>
      <x:c r="G4" s="48" t="str">
        <x:v>workshop</x:v>
      </x:c>
      <x:c r="H4" s="48" t="str">
        <x:v>machine–AGV joint scheduling</x:v>
      </x:c>
      <x:c r="I4" s="48" t="str">
        <x:v>new concentrated-search record; queries=S6; databases=OpenAlex-S6-trace</x:v>
      </x:c>
      <x:c r="J4" s="50" t="str">
        <x:f>IF(COUNTA(B4:I4)=0,"",IF(A4="","MISSING ID",IFERROR(IF(AND(LEFT(A4,1)="L",LEN(A4)=4,ISNUMBER(VALUE(RIGHT(A4,3)))),"OK","CHECK ID"),"CHECK ID")))</x:f>
        <x:v>OK</x:v>
      </x:c>
    </x:row>
    <x:row r="5" ht="48" customHeight="1">
      <x:c r="A5" s="54" t="str">
        <x:v>L031</x:v>
      </x:c>
      <x:c r="B5" s="55" t="str">
        <x:v>Tianhua Jiang; Chunlin Shang (2026). A Q-learning-driven evolutionary algorithm for energy-aware flexible job shop scheduling with preventive maintenance and finite AGVs. Expert Systems with Applications. DOI: 10.1016/j.eswa.2025.131024</x:v>
      </x:c>
      <x:c r="C5" s="55" t="str">
        <x:v>https://doi.org/10.1016/j.eswa.2025.131024</x:v>
      </x:c>
      <x:c r="D5" s="55" t="str">
        <x:v>Metadata retrieved; abstract unavailable</x:v>
      </x:c>
      <x:c r="E5" s="55" t="str">
        <x:v>Provisional include — title/abstract screen</x:v>
      </x:c>
      <x:c r="F5" s="55" t="str">
        <x:v>Title/abstract screened; full-text pending</x:v>
      </x:c>
      <x:c r="G5" s="55" t="str">
        <x:v>workshop</x:v>
      </x:c>
      <x:c r="H5" s="55" t="str">
        <x:v>machine–AGV joint scheduling</x:v>
      </x:c>
      <x:c r="I5" s="55" t="str">
        <x:v>new concentrated-search record; queries=S6; databases=OpenAlex-S6-trace</x:v>
      </x:c>
      <x:c r="J5" s="57" t="str">
        <x:f>IF(COUNTA(B5:I5)=0,"",IF(A5="","MISSING ID",IFERROR(IF(AND(LEFT(A5,1)="L",LEN(A5)=4,ISNUMBER(VALUE(RIGHT(A5,3)))),"OK","CHECK ID"),"CHECK ID")))</x:f>
        <x:v>OK</x:v>
      </x:c>
    </x:row>
    <x:row r="6" ht="48" customHeight="1">
      <x:c r="A6" s="51" t="str">
        <x:v>L032</x:v>
      </x:c>
      <x:c r="B6" s="52" t="str">
        <x:v>Tingxi Wen; Xinwen Chen; Chao Liu; Y B Fu; Mengde Ling; Yunfeng Li (2026). Flexible job shop scheduling optimization with limited AGV transportation based on reinforcement learning and SPEA2 algorithm. Journal of Engineering Design. DOI: 10.1080/09544828.2026.2683729</x:v>
      </x:c>
      <x:c r="C6" s="52" t="str">
        <x:v>https://doi.org/10.1080/09544828.2026.2683729</x:v>
      </x:c>
      <x:c r="D6" s="52" t="str">
        <x:v>Metadata + abstract retrieved</x:v>
      </x:c>
      <x:c r="E6" s="52" t="str">
        <x:v>Provisional include — title/abstract screen</x:v>
      </x:c>
      <x:c r="F6" s="52" t="str">
        <x:v>Title/abstract screened; full-text pending</x:v>
      </x:c>
      <x:c r="G6" s="52" t="str">
        <x:v>workshop</x:v>
      </x:c>
      <x:c r="H6" s="52" t="str">
        <x:v>machine–AGV joint scheduling</x:v>
      </x:c>
      <x:c r="I6" s="52" t="str">
        <x:v>new concentrated-search record; queries=S6; databases=OpenAlex-S6-trace</x:v>
      </x:c>
      <x:c r="J6" s="50" t="str">
        <x:f>IF(COUNTA(B6:I6)=0,"",IF(A6="","MISSING ID",IFERROR(IF(AND(LEFT(A6,1)="L",LEN(A6)=4,ISNUMBER(VALUE(RIGHT(A6,3)))),"OK","CHECK ID"),"CHECK ID")))</x:f>
        <x:v>OK</x:v>
      </x:c>
    </x:row>
    <x:row r="7" ht="48" customHeight="1">
      <x:c r="A7" s="54" t="str">
        <x:v>L033</x:v>
      </x:c>
      <x:c r="B7" s="55" t="str">
        <x:v>Sofiene Lassoued Laxmikant Shrikant Bahetic Nathalie Weiß-Borkowskib Stefan Lierc Andreas Schwunga (2026). Flexible Manufacturing Systems Intralogistics: Dynamic Optimization of AGVs and Tool Sharing Using Coloured-Timed Petri Nets and Actor-Critic RL with Actions Masking. arXiv. DOI: 10.1016/j.jmsy.2025.06.017</x:v>
      </x:c>
      <x:c r="C7" s="55" t="str">
        <x:v>https://doi.org/10.1016/j.jmsy.2025.06.017</x:v>
      </x:c>
      <x:c r="D7" s="55" t="str">
        <x:v>Metadata + abstract retrieved</x:v>
      </x:c>
      <x:c r="E7" s="55" t="str">
        <x:v>Provisional include — title/abstract screen</x:v>
      </x:c>
      <x:c r="F7" s="55" t="str">
        <x:v>Title/abstract screened; full-text pending</x:v>
      </x:c>
      <x:c r="G7" s="55" t="str">
        <x:v>workshop</x:v>
      </x:c>
      <x:c r="H7" s="55" t="str">
        <x:v>machine–AGV joint scheduling</x:v>
      </x:c>
      <x:c r="I7" s="55" t="str">
        <x:v>new concentrated-search record; queries=S1; databases=arXiv</x:v>
      </x:c>
      <x:c r="J7" s="57" t="str">
        <x:f>IF(COUNTA(B7:I7)=0,"",IF(A7="","MISSING ID",IFERROR(IF(AND(LEFT(A7,1)="L",LEN(A7)=4,ISNUMBER(VALUE(RIGHT(A7,3)))),"OK","CHECK ID"),"CHECK ID")))</x:f>
        <x:v>OK</x:v>
      </x:c>
    </x:row>
    <x:row r="8" ht="48" customHeight="1">
      <x:c r="A8" s="51" t="str">
        <x:v>L034</x:v>
      </x:c>
      <x:c r="B8" s="52" t="str">
        <x:v>Guohui Zhang; Z. Merrick Li; Chao Lu; Wenqiang Zhang; Zhengfeng Li (2026). Hybrid reinforcement learning assisted memetic algorithm for energy-efficient dynamic flexible job shop scheduling with limited transportation resources under new job arrivals. Engineering Applications of Artificial Intelligence. DOI: 10.1016/j.engappai.2026.113866</x:v>
      </x:c>
      <x:c r="C8" s="52" t="str">
        <x:v>https://doi.org/10.1016/j.engappai.2026.113866</x:v>
      </x:c>
      <x:c r="D8" s="52" t="str">
        <x:v>Metadata retrieved; abstract unavailable</x:v>
      </x:c>
      <x:c r="E8" s="52" t="str">
        <x:v>Provisional include — title/abstract screen</x:v>
      </x:c>
      <x:c r="F8" s="52" t="str">
        <x:v>Title/abstract screened; full-text pending</x:v>
      </x:c>
      <x:c r="G8" s="52" t="str">
        <x:v>workshop</x:v>
      </x:c>
      <x:c r="H8" s="52" t="str">
        <x:v>machine–AGV joint scheduling</x:v>
      </x:c>
      <x:c r="I8" s="52" t="str">
        <x:v>new concentrated-search record; queries=S6; databases=OpenAlex-S6-trace</x:v>
      </x:c>
      <x:c r="J8" s="50" t="str">
        <x:f>IF(COUNTA(B8:I8)=0,"",IF(A8="","MISSING ID",IFERROR(IF(AND(LEFT(A8,1)="L",LEN(A8)=4,ISNUMBER(VALUE(RIGHT(A8,3)))),"OK","CHECK ID"),"CHECK ID")))</x:f>
        <x:v>OK</x:v>
      </x:c>
    </x:row>
    <x:row r="9" ht="48" customHeight="1">
      <x:c r="A9" s="54" t="str">
        <x:v>L035</x:v>
      </x:c>
      <x:c r="B9" s="55" t="str">
        <x:v>Yihao Cai; Guohui Zhang; Nenghai Yu; Wenqiang Zhang; Zhengfeng Li (2026). Multi-objective evolutionary algorithm based on reinforcement learning for flexible job shop scheduling with limited transportation resources. Applied Soft Computing. DOI: 10.1016/j.asoc.2026.115530</x:v>
      </x:c>
      <x:c r="C9" s="55" t="str">
        <x:v>https://doi.org/10.1016/j.asoc.2026.115530</x:v>
      </x:c>
      <x:c r="D9" s="55" t="str">
        <x:v>Metadata retrieved; abstract unavailable</x:v>
      </x:c>
      <x:c r="E9" s="55" t="str">
        <x:v>Provisional include — title/abstract screen</x:v>
      </x:c>
      <x:c r="F9" s="55" t="str">
        <x:v>Title/abstract screened; full-text pending</x:v>
      </x:c>
      <x:c r="G9" s="55" t="str">
        <x:v>workshop</x:v>
      </x:c>
      <x:c r="H9" s="55" t="str">
        <x:v>machine–AGV joint scheduling</x:v>
      </x:c>
      <x:c r="I9" s="55" t="str">
        <x:v>new concentrated-search record; queries=S6; databases=OpenAlex-S6-trace</x:v>
      </x:c>
      <x:c r="J9" s="57" t="str">
        <x:f>IF(COUNTA(B9:I9)=0,"",IF(A9="","MISSING ID",IFERROR(IF(AND(LEFT(A9,1)="L",LEN(A9)=4,ISNUMBER(VALUE(RIGHT(A9,3)))),"OK","CHECK ID"),"CHECK ID")))</x:f>
        <x:v>OK</x:v>
      </x:c>
    </x:row>
    <x:row r="10" ht="48" customHeight="1">
      <x:c r="A10" s="51" t="str">
        <x:v>L036</x:v>
      </x:c>
      <x:c r="B10" s="52" t="str">
        <x:v>Weiyao Cheng; Chaoyong Zhang; Leilei Meng; Kaizhou Gao; Biao Zhang; Hongyan Sang (2025). A cooperative agent deep reinforcement learning framework for solving flexible job shop scheduling problem with automated guided vehicles. Expert Systems with Applications. DOI: 10.1016/j.eswa.2025.128142</x:v>
      </x:c>
      <x:c r="C10" s="52" t="str">
        <x:v>https://doi.org/10.1016/j.eswa.2025.128142</x:v>
      </x:c>
      <x:c r="D10" s="52" t="str">
        <x:v>Metadata retrieved; abstract unavailable</x:v>
      </x:c>
      <x:c r="E10" s="52" t="str">
        <x:v>Provisional include — title/abstract screen</x:v>
      </x:c>
      <x:c r="F10" s="52" t="str">
        <x:v>Title/abstract screened; full-text pending</x:v>
      </x:c>
      <x:c r="G10" s="52" t="str">
        <x:v>workshop</x:v>
      </x:c>
      <x:c r="H10" s="52" t="str">
        <x:v>machine–AGV joint scheduling</x:v>
      </x:c>
      <x:c r="I10" s="52" t="str">
        <x:v>new concentrated-search record; queries=S1; databases=OpenAlex</x:v>
      </x:c>
      <x:c r="J10" s="50" t="str">
        <x:f>IF(COUNTA(B10:I10)=0,"",IF(A10="","MISSING ID",IFERROR(IF(AND(LEFT(A10,1)="L",LEN(A10)=4,ISNUMBER(VALUE(RIGHT(A10,3)))),"OK","CHECK ID"),"CHECK ID")))</x:f>
        <x:v>OK</x:v>
      </x:c>
    </x:row>
    <x:row r="11" ht="48" customHeight="1">
      <x:c r="A11" s="54" t="str">
        <x:v>L037</x:v>
      </x:c>
      <x:c r="B11" s="55" t="str">
        <x:v>Xiaoting Dong; Guangxi Wan; Peng Zeng (2025). A heuristic-assisted deep reinforcement learning algorithm for flexible job shop scheduling with transport constraints. Complex &amp; Intelligent Systems. DOI: 10.1007/s40747-025-01828-6</x:v>
      </x:c>
      <x:c r="C11" s="55" t="str">
        <x:v>https://doi.org/10.1007/s40747-025-01828-6</x:v>
      </x:c>
      <x:c r="D11" s="55" t="str">
        <x:v>Metadata + abstract retrieved</x:v>
      </x:c>
      <x:c r="E11" s="55" t="str">
        <x:v>Provisional include — title/abstract screen</x:v>
      </x:c>
      <x:c r="F11" s="55" t="str">
        <x:v>Title/abstract screened; full-text pending</x:v>
      </x:c>
      <x:c r="G11" s="55" t="str">
        <x:v>workshop</x:v>
      </x:c>
      <x:c r="H11" s="55" t="str">
        <x:v>machine–AGV joint scheduling</x:v>
      </x:c>
      <x:c r="I11" s="55" t="str">
        <x:v>new concentrated-search record; queries=S1; databases=OpenAlex</x:v>
      </x:c>
      <x:c r="J11" s="57" t="str">
        <x:f>IF(COUNTA(B11:I11)=0,"",IF(A11="","MISSING ID",IFERROR(IF(AND(LEFT(A11,1)="L",LEN(A11)=4,ISNUMBER(VALUE(RIGHT(A11,3)))),"OK","CHECK ID"),"CHECK ID")))</x:f>
        <x:v>OK</x:v>
      </x:c>
    </x:row>
    <x:row r="12" ht="48" customHeight="1">
      <x:c r="A12" s="51" t="str">
        <x:v>L038</x:v>
      </x:c>
      <x:c r="B12" s="52" t="str">
        <x:v>Bohan Zhang; Ada Che (2025). An enhanced decomposition-based multi-objective evolutionary algorithm with neighborhood search for multi-resource constrained job shop scheduling problem. Swarm and Evolutionary Computation. DOI: 10.1016/j.swevo.2024.101834</x:v>
      </x:c>
      <x:c r="C12" s="52" t="str">
        <x:v>https://doi.org/10.1016/j.swevo.2024.101834</x:v>
      </x:c>
      <x:c r="D12" s="52" t="str">
        <x:v>Metadata + abstract retrieved</x:v>
      </x:c>
      <x:c r="E12" s="52" t="str">
        <x:v>Provisional include — title/abstract screen</x:v>
      </x:c>
      <x:c r="F12" s="52" t="str">
        <x:v>Title/abstract screened; full-text pending</x:v>
      </x:c>
      <x:c r="G12" s="52" t="str">
        <x:v>workshop</x:v>
      </x:c>
      <x:c r="H12" s="52" t="str">
        <x:v>machine–AGV joint scheduling</x:v>
      </x:c>
      <x:c r="I12" s="52" t="str">
        <x:v>new concentrated-search record; queries=S6; databases=OpenAlex-S6-trace</x:v>
      </x:c>
      <x:c r="J12" s="50" t="str">
        <x:f>IF(COUNTA(B12:I12)=0,"",IF(A12="","MISSING ID",IFERROR(IF(AND(LEFT(A12,1)="L",LEN(A12)=4,ISNUMBER(VALUE(RIGHT(A12,3)))),"OK","CHECK ID"),"CHECK ID")))</x:f>
        <x:v>OK</x:v>
      </x:c>
    </x:row>
    <x:row r="13" ht="48" customHeight="1">
      <x:c r="A13" s="54" t="str">
        <x:v>L039</x:v>
      </x:c>
      <x:c r="B13" s="55" t="str">
        <x:v>Weiyao Cheng; Chaoyong Zhang; Leilei Meng; Biao Zhang; Kaizhou Gao; Hongyan Sang (2025). Deep reinforcement learning for solving efficient and energy-saving flexible job shop scheduling problem with multi-AGV. Computers &amp; Operations Research. DOI: 10.1016/j.cor.2025.107087</x:v>
      </x:c>
      <x:c r="C13" s="55" t="str">
        <x:v>https://doi.org/10.1016/j.cor.2025.107087</x:v>
      </x:c>
      <x:c r="D13" s="55" t="str">
        <x:v>Metadata retrieved; abstract unavailable</x:v>
      </x:c>
      <x:c r="E13" s="55" t="str">
        <x:v>Provisional include — title/abstract screen</x:v>
      </x:c>
      <x:c r="F13" s="55" t="str">
        <x:v>Title/abstract screened; full-text pending</x:v>
      </x:c>
      <x:c r="G13" s="55" t="str">
        <x:v>workshop</x:v>
      </x:c>
      <x:c r="H13" s="55" t="str">
        <x:v>machine–AGV joint scheduling</x:v>
      </x:c>
      <x:c r="I13" s="55" t="str">
        <x:v>new concentrated-search record; queries=S1; databases=OpenAlex</x:v>
      </x:c>
      <x:c r="J13" s="57" t="str">
        <x:f>IF(COUNTA(B13:I13)=0,"",IF(A13="","MISSING ID",IFERROR(IF(AND(LEFT(A13,1)="L",LEN(A13)=4,ISNUMBER(VALUE(RIGHT(A13,3)))),"OK","CHECK ID"),"CHECK ID")))</x:f>
        <x:v>OK</x:v>
      </x:c>
    </x:row>
    <x:row r="14" ht="48" customHeight="1">
      <x:c r="A14" s="51" t="str">
        <x:v>L040</x:v>
      </x:c>
      <x:c r="B14" s="52" t="str">
        <x:v>Xinxin Zhou; Fuzhi Wang; Bin Wu; Yan Li; Nannan Shen (2025). Deep reinforcement learning-based memetic algorithm for solving dynamic distributed green flexible job shop scheduling problem with finite transportation resources. Swarm and Evolutionary Computation. DOI: 10.1016/j.swevo.2025.101885</x:v>
      </x:c>
      <x:c r="C14" s="52" t="str">
        <x:v>https://doi.org/10.1016/j.swevo.2025.101885</x:v>
      </x:c>
      <x:c r="D14" s="52" t="str">
        <x:v>Metadata retrieved; abstract unavailable</x:v>
      </x:c>
      <x:c r="E14" s="52" t="str">
        <x:v>Provisional include — title/abstract screen</x:v>
      </x:c>
      <x:c r="F14" s="52" t="str">
        <x:v>Title/abstract screened; full-text pending</x:v>
      </x:c>
      <x:c r="G14" s="52" t="str">
        <x:v>workshop</x:v>
      </x:c>
      <x:c r="H14" s="52" t="str">
        <x:v>machine–AGV joint scheduling</x:v>
      </x:c>
      <x:c r="I14" s="52" t="str">
        <x:v>new concentrated-search record; queries=S1,S6; databases=OpenAlex,OpenAlex-S6-trace</x:v>
      </x:c>
      <x:c r="J14" s="50" t="str">
        <x:f>IF(COUNTA(B14:I14)=0,"",IF(A14="","MISSING ID",IFERROR(IF(AND(LEFT(A14,1)="L",LEN(A14)=4,ISNUMBER(VALUE(RIGHT(A14,3)))),"OK","CHECK ID"),"CHECK ID")))</x:f>
        <x:v>OK</x:v>
      </x:c>
    </x:row>
    <x:row r="15" ht="48" customHeight="1">
      <x:c r="A15" s="54" t="str">
        <x:v>L041</x:v>
      </x:c>
      <x:c r="B15" s="55" t="str">
        <x:v>Chen Li; Lin Lin; Xuze Qiu; Xiyan Zhao; Wenqiang Zhang; Mitsuo Gen (2025). Evolutionary experience-guided deep reinforcement learning for job shop scheduling with AGV transportation constraints in flexible manufacturing system. Computers &amp; Industrial Engineering. DOI: 10.1016/j.cie.2025.111465</x:v>
      </x:c>
      <x:c r="C15" s="55" t="str">
        <x:v>https://doi.org/10.1016/j.cie.2025.111465</x:v>
      </x:c>
      <x:c r="D15" s="55" t="str">
        <x:v>Metadata retrieved; abstract unavailable</x:v>
      </x:c>
      <x:c r="E15" s="55" t="str">
        <x:v>Provisional include — title/abstract screen</x:v>
      </x:c>
      <x:c r="F15" s="55" t="str">
        <x:v>Title/abstract screened; full-text pending</x:v>
      </x:c>
      <x:c r="G15" s="55" t="str">
        <x:v>workshop</x:v>
      </x:c>
      <x:c r="H15" s="55" t="str">
        <x:v>machine–AGV joint scheduling</x:v>
      </x:c>
      <x:c r="I15" s="55" t="str">
        <x:v>new concentrated-search record; queries=S6; databases=OpenAlex-S6-trace</x:v>
      </x:c>
      <x:c r="J15" s="57" t="str">
        <x:f>IF(COUNTA(B15:I15)=0,"",IF(A15="","MISSING ID",IFERROR(IF(AND(LEFT(A15,1)="L",LEN(A15)=4,ISNUMBER(VALUE(RIGHT(A15,3)))),"OK","CHECK ID"),"CHECK ID")))</x:f>
        <x:v>OK</x:v>
      </x:c>
    </x:row>
    <x:row r="16" ht="48" customHeight="1">
      <x:c r="A16" s="51" t="str">
        <x:v>L042</x:v>
      </x:c>
      <x:c r="B16" s="52" t="str">
        <x:v>Shiming Yang; Leilei Meng; Saif Ullah; Biao Zhang; Hongyan Sang; Peng Duan (2025). MILP Modeling and Optimization of Multi-Objective Three-Stage Flexible Job Shop Scheduling Problem With Assembly and AGV Transportation. IEEE Access. DOI: 10.1109/access.2025.3535825</x:v>
      </x:c>
      <x:c r="C16" s="52" t="str">
        <x:v>https://doi.org/10.1109/access.2025.3535825</x:v>
      </x:c>
      <x:c r="D16" s="52" t="str">
        <x:v>Metadata + abstract retrieved</x:v>
      </x:c>
      <x:c r="E16" s="52" t="str">
        <x:v>Provisional include — title/abstract screen</x:v>
      </x:c>
      <x:c r="F16" s="52" t="str">
        <x:v>Title/abstract screened; full-text pending</x:v>
      </x:c>
      <x:c r="G16" s="52" t="str">
        <x:v>workshop</x:v>
      </x:c>
      <x:c r="H16" s="52" t="str">
        <x:v>machine–AGV joint scheduling</x:v>
      </x:c>
      <x:c r="I16" s="52" t="str">
        <x:v>new concentrated-search record; queries=S6; databases=OpenAlex-S6-trace</x:v>
      </x:c>
      <x:c r="J16" s="50" t="str">
        <x:f>IF(COUNTA(B16:I16)=0,"",IF(A16="","MISSING ID",IFERROR(IF(AND(LEFT(A16,1)="L",LEN(A16)=4,ISNUMBER(VALUE(RIGHT(A16,3)))),"OK","CHECK ID"),"CHECK ID")))</x:f>
        <x:v>OK</x:v>
      </x:c>
    </x:row>
    <x:row r="17" ht="48" customHeight="1">
      <x:c r="A17" s="54" t="str">
        <x:v>L043</x:v>
      </x:c>
      <x:c r="B17" s="55" t="str">
        <x:v>Yihao Cai; Guohui Zhang; Nenghai Yu; Wenqiang Zhang; Zhengfeng Li (2025). Multi-Objective Evolutionary Algorithm Based on Reinforcement Learning for Flexible Job Shop Scheduling with Limited Transportation Resources. SSRN Electronic Journal. DOI: 10.2139/ssrn.5666918</x:v>
      </x:c>
      <x:c r="C17" s="55" t="str">
        <x:v>https://doi.org/10.2139/ssrn.5666918</x:v>
      </x:c>
      <x:c r="D17" s="55" t="str">
        <x:v>Metadata retrieved; abstract unavailable</x:v>
      </x:c>
      <x:c r="E17" s="55" t="str">
        <x:v>Provisional include — title/abstract screen</x:v>
      </x:c>
      <x:c r="F17" s="55" t="str">
        <x:v>Title/abstract screened; full-text pending</x:v>
      </x:c>
      <x:c r="G17" s="55" t="str">
        <x:v>workshop</x:v>
      </x:c>
      <x:c r="H17" s="55" t="str">
        <x:v>machine–AGV joint scheduling</x:v>
      </x:c>
      <x:c r="I17" s="55" t="str">
        <x:v>new concentrated-search record; queries=S6; databases=OpenAlex-S6-trace</x:v>
      </x:c>
      <x:c r="J17" s="57" t="str">
        <x:f>IF(COUNTA(B17:I17)=0,"",IF(A17="","MISSING ID",IFERROR(IF(AND(LEFT(A17,1)="L",LEN(A17)=4,ISNUMBER(VALUE(RIGHT(A17,3)))),"OK","CHECK ID"),"CHECK ID")))</x:f>
        <x:v>OK</x:v>
      </x:c>
    </x:row>
    <x:row r="18" ht="48" customHeight="1">
      <x:c r="A18" s="51" t="str">
        <x:v>L044</x:v>
      </x:c>
      <x:c r="B18" s="52" t="str">
        <x:v>Yuxin Li; Qingzheng Wang; Xinyu Li; Liang Gao; Ling Fu; Yanbin Yu; Wei Zhou (2025). Real-Time Scheduling for Flexible Job Shop With AGVs Using Multiagent Reinforcement Learning and Efficient Action Decoding. IEEE Transactions on Systems Man and Cybernetics Systems. DOI: 10.1109/tsmc.2024.3520381</x:v>
      </x:c>
      <x:c r="C18" s="52" t="str">
        <x:v>https://doi.org/10.1109/tsmc.2024.3520381</x:v>
      </x:c>
      <x:c r="D18" s="52" t="str">
        <x:v>Metadata + abstract retrieved</x:v>
      </x:c>
      <x:c r="E18" s="52" t="str">
        <x:v>Provisional include — title/abstract screen</x:v>
      </x:c>
      <x:c r="F18" s="52" t="str">
        <x:v>Title/abstract screened; full-text pending</x:v>
      </x:c>
      <x:c r="G18" s="52" t="str">
        <x:v>workshop</x:v>
      </x:c>
      <x:c r="H18" s="52" t="str">
        <x:v>machine–AGV joint scheduling</x:v>
      </x:c>
      <x:c r="I18" s="52" t="str">
        <x:v>new concentrated-search record; queries=S1; databases=OpenAlex</x:v>
      </x:c>
      <x:c r="J18" s="50" t="str">
        <x:f>IF(COUNTA(B18:I18)=0,"",IF(A18="","MISSING ID",IFERROR(IF(AND(LEFT(A18,1)="L",LEN(A18)=4,ISNUMBER(VALUE(RIGHT(A18,3)))),"OK","CHECK ID"),"CHECK ID")))</x:f>
        <x:v>OK</x:v>
      </x:c>
    </x:row>
    <x:row r="19" ht="48" customHeight="1">
      <x:c r="A19" s="54" t="str">
        <x:v>L045</x:v>
      </x:c>
      <x:c r="B19" s="55" t="str">
        <x:v>Zhaohe Wang; Bohan Zhang; Jianghai Zhao; Jianwu Xue (2025). Roles reversal evolutionary algorithm with neighborhood search for job shop scheduling problem considering insufficient machine buffer and AGVs. International Journal of General Systems. DOI: 10.1080/03081079.2025.2548921</x:v>
      </x:c>
      <x:c r="C19" s="55" t="str">
        <x:v>https://doi.org/10.1080/03081079.2025.2548921</x:v>
      </x:c>
      <x:c r="D19" s="55" t="str">
        <x:v>Metadata + abstract retrieved</x:v>
      </x:c>
      <x:c r="E19" s="55" t="str">
        <x:v>Provisional include — title/abstract screen</x:v>
      </x:c>
      <x:c r="F19" s="55" t="str">
        <x:v>Title/abstract screened; full-text pending</x:v>
      </x:c>
      <x:c r="G19" s="55" t="str">
        <x:v>workshop</x:v>
      </x:c>
      <x:c r="H19" s="55" t="str">
        <x:v>machine–AGV joint scheduling</x:v>
      </x:c>
      <x:c r="I19" s="55" t="str">
        <x:v>new concentrated-search record; queries=S6; databases=OpenAlex-S6-trace</x:v>
      </x:c>
      <x:c r="J19" s="57" t="str">
        <x:f>IF(COUNTA(B19:I19)=0,"",IF(A19="","MISSING ID",IFERROR(IF(AND(LEFT(A19,1)="L",LEN(A19)=4,ISNUMBER(VALUE(RIGHT(A19,3)))),"OK","CHECK ID"),"CHECK ID")))</x:f>
        <x:v>OK</x:v>
      </x:c>
    </x:row>
    <x:row r="20" ht="48" customHeight="1">
      <x:c r="A20" s="51" t="str">
        <x:v>L001</x:v>
      </x:c>
      <x:c r="B20" s="52" t="str">
        <x:v>Rensheng Chen; Bin Wu; Hua Wang; Huagang Tong; Feiyi Yan (2024). A Q -Learning based NSGA-II for dynamic flexible job shop scheduling with limited transportation resources. Swarm and Evolutionary Computation. DOI: 10.1016/j.swevo.2024.101658</x:v>
      </x:c>
      <x:c r="C20" s="52" t="str">
        <x:v>https://doi.org/10.1016/j.swevo.2024.101658</x:v>
      </x:c>
      <x:c r="D20" s="52" t="str">
        <x:v>Metadata + abstract retrieved</x:v>
      </x:c>
      <x:c r="E20" s="52" t="str">
        <x:v>Provisional include — title/abstract screen</x:v>
      </x:c>
      <x:c r="F20" s="52" t="str">
        <x:v>Title/abstract screened; full-text pending</x:v>
      </x:c>
      <x:c r="G20" s="52" t="str">
        <x:v>workshop</x:v>
      </x:c>
      <x:c r="H20" s="52" t="str">
        <x:v>machine–AGV joint scheduling</x:v>
      </x:c>
      <x:c r="I20" s="52" t="str">
        <x:v>existing corpus record; queries=S6; databases=OpenAlex-S6-seed</x:v>
      </x:c>
      <x:c r="J20" s="50" t="str">
        <x:f>IF(COUNTA(B20:I20)=0,"",IF(A20="","MISSING ID",IFERROR(IF(AND(LEFT(A20,1)="L",LEN(A20)=4,ISNUMBER(VALUE(RIGHT(A20,3)))),"OK","CHECK ID"),"CHECK ID")))</x:f>
        <x:v>OK</x:v>
      </x:c>
    </x:row>
    <x:row r="21" ht="48" customHeight="1">
      <x:c r="A21" s="54" t="str">
        <x:v>L046</x:v>
      </x:c>
      <x:c r="B21" s="55" t="str">
        <x:v>Fayong Zhang; Rui Li; Wenyin Gong (2024). Deep reinforcement learning-based memetic algorithm for energy-aware flexible job shop scheduling with multi-AGV. Computers &amp; Industrial Engineering. DOI: 10.1016/j.cie.2024.109917</x:v>
      </x:c>
      <x:c r="C21" s="55" t="str">
        <x:v>https://doi.org/10.1016/j.cie.2024.109917</x:v>
      </x:c>
      <x:c r="D21" s="55" t="str">
        <x:v>Metadata retrieved; abstract unavailable</x:v>
      </x:c>
      <x:c r="E21" s="55" t="str">
        <x:v>Provisional include — title/abstract screen</x:v>
      </x:c>
      <x:c r="F21" s="55" t="str">
        <x:v>Title/abstract screened; full-text pending</x:v>
      </x:c>
      <x:c r="G21" s="55" t="str">
        <x:v>workshop</x:v>
      </x:c>
      <x:c r="H21" s="55" t="str">
        <x:v>machine–AGV joint scheduling</x:v>
      </x:c>
      <x:c r="I21" s="55" t="str">
        <x:v>new concentrated-search record; queries=S1,S2,S6; databases=OpenAlex,OpenAlex-S6-trace</x:v>
      </x:c>
      <x:c r="J21" s="57" t="str">
        <x:f>IF(COUNTA(B21:I21)=0,"",IF(A21="","MISSING ID",IFERROR(IF(AND(LEFT(A21,1)="L",LEN(A21)=4,ISNUMBER(VALUE(RIGHT(A21,3)))),"OK","CHECK ID"),"CHECK ID")))</x:f>
        <x:v>OK</x:v>
      </x:c>
    </x:row>
    <x:row r="22" ht="48" customHeight="1">
      <x:c r="A22" s="51" t="str">
        <x:v>L047</x:v>
      </x:c>
      <x:c r="B22" s="52" t="str">
        <x:v>Jingrui Wang; Yi Li; Zhongwei Zhang; Zhaoyun Wu; Lihui Wu; Shun Jia; Tao Peng (2024). Dynamic Integrated Scheduling of Production Equipment and Automated Guided Vehicles in a Flexible Job Shop Based on Deep Reinforcement Learning. Processes. DOI: 10.3390/pr12112423</x:v>
      </x:c>
      <x:c r="C22" s="52" t="str">
        <x:v>https://doi.org/10.3390/pr12112423</x:v>
      </x:c>
      <x:c r="D22" s="52" t="str">
        <x:v>Metadata + abstract retrieved</x:v>
      </x:c>
      <x:c r="E22" s="52" t="str">
        <x:v>Provisional include — title/abstract screen</x:v>
      </x:c>
      <x:c r="F22" s="52" t="str">
        <x:v>Title/abstract screened; full-text pending</x:v>
      </x:c>
      <x:c r="G22" s="52" t="str">
        <x:v>workshop</x:v>
      </x:c>
      <x:c r="H22" s="52" t="str">
        <x:v>machine–AGV joint scheduling</x:v>
      </x:c>
      <x:c r="I22" s="52" t="str">
        <x:v>new concentrated-search record; queries=S1,S5; databases=OpenAlex</x:v>
      </x:c>
      <x:c r="J22" s="50" t="str">
        <x:f>IF(COUNTA(B22:I22)=0,"",IF(A22="","MISSING ID",IFERROR(IF(AND(LEFT(A22,1)="L",LEN(A22)=4,ISNUMBER(VALUE(RIGHT(A22,3)))),"OK","CHECK ID"),"CHECK ID")))</x:f>
        <x:v>OK</x:v>
      </x:c>
    </x:row>
    <x:row r="23" ht="48" customHeight="1">
      <x:c r="A23" s="54" t="str">
        <x:v>L027</x:v>
      </x:c>
      <x:c r="B23" s="55" t="str">
        <x:v>Fujie Ren; Haibin Liu (2024). Dynamic scheduling for flexible job shop based on MachineRank algorithm and reinforcement learning. Scientific Reports. DOI: 10.1038/s41598-024-79593-8</x:v>
      </x:c>
      <x:c r="C23" s="55" t="str">
        <x:v>https://doi.org/10.1038/s41598-024-79593-8</x:v>
      </x:c>
      <x:c r="D23" s="55" t="str">
        <x:v>Metadata + abstract retrieved</x:v>
      </x:c>
      <x:c r="E23" s="55" t="str">
        <x:v>Provisional include — title/abstract screen</x:v>
      </x:c>
      <x:c r="F23" s="55" t="str">
        <x:v>Title/abstract screened; full-text pending</x:v>
      </x:c>
      <x:c r="G23" s="55" t="str">
        <x:v>workshop</x:v>
      </x:c>
      <x:c r="H23" s="55" t="str">
        <x:v>machine–AGV joint scheduling</x:v>
      </x:c>
      <x:c r="I23" s="55" t="str">
        <x:v>existing corpus record; queries=S1,S5; databases=OpenAlex</x:v>
      </x:c>
      <x:c r="J23" s="57" t="str">
        <x:f>IF(COUNTA(B23:I23)=0,"",IF(A23="","MISSING ID",IFERROR(IF(AND(LEFT(A23,1)="L",LEN(A23)=4,ISNUMBER(VALUE(RIGHT(A23,3)))),"OK","CHECK ID"),"CHECK ID")))</x:f>
        <x:v>OK</x:v>
      </x:c>
    </x:row>
    <x:row r="24" ht="48" customHeight="1">
      <x:c r="A24" s="59" t="str">
        <x:v>L048</x:v>
      </x:c>
      <x:c r="B24" s="60" t="str">
        <x:v>Sihoon Moon Sanghoon Lee Kyung-Joon Park (2024). Learning-enabled Flexible Job-shop Scheduling for Scalable Smart Manufacturing. arXiv</x:v>
      </x:c>
      <x:c r="C24" s="60" t="str">
        <x:v>https://arxiv.org/abs/2402.08979</x:v>
      </x:c>
      <x:c r="D24" s="60" t="str">
        <x:v>Metadata + abstract retrieved</x:v>
      </x:c>
      <x:c r="E24" s="60" t="str">
        <x:v>Provisional include — title/abstract screen</x:v>
      </x:c>
      <x:c r="F24" s="60" t="str">
        <x:v>Title/abstract screened; full-text pending</x:v>
      </x:c>
      <x:c r="G24" s="60" t="str">
        <x:v>workshop</x:v>
      </x:c>
      <x:c r="H24" s="60" t="str">
        <x:v>machine–AGV joint scheduling</x:v>
      </x:c>
      <x:c r="I24" s="60" t="str">
        <x:v>new concentrated-search record; queries=S1; databases=arXiv</x:v>
      </x:c>
      <x:c r="J24" s="61" t="str">
        <x:f>IF(COUNTA(B24:I24)=0,"",IF(A24="","MISSING ID",IFERROR(IF(AND(LEFT(A24,1)="L",LEN(A24)=4,ISNUMBER(VALUE(RIGHT(A24,3)))),"OK","CHECK ID"),"CHECK ID")))</x:f>
        <x:v>OK</x:v>
      </x:c>
    </x:row>
    <x:row r="25" ht="48" customHeight="1">
      <x:c r="A25" s="63" t="str">
        <x:v>L049</x:v>
      </x:c>
      <x:c r="B25" s="63" t="str">
        <x:v>Jiaojiao Liu; Baofeng Sun; Gendao Li; Yuqi Chen (2024). Multi-objective adaptive large neighbourhood search algorithm for dynamic flexible job shop schedule problem with transportation resource. Engineering Applications of Artificial Intelligence. DOI: 10.1016/j.engappai.2024.107917</x:v>
      </x:c>
      <x:c r="C25" s="63" t="str">
        <x:v>https://doi.org/10.1016/j.engappai.2024.107917</x:v>
      </x:c>
      <x:c r="D25" s="63" t="str">
        <x:v>Metadata retrieved; abstract unavailable</x:v>
      </x:c>
      <x:c r="E25" s="63" t="str">
        <x:v>Provisional include — title/abstract screen</x:v>
      </x:c>
      <x:c r="F25" s="63" t="str">
        <x:v>Title/abstract screened; full-text pending</x:v>
      </x:c>
      <x:c r="G25" s="63" t="str">
        <x:v>workshop</x:v>
      </x:c>
      <x:c r="H25" s="63" t="str">
        <x:v>machine–AGV joint scheduling</x:v>
      </x:c>
      <x:c r="I25" s="63" t="str">
        <x:v>new concentrated-search record; queries=S6; databases=OpenAlex-S6-trace</x:v>
      </x:c>
      <x:c r="J25" s="63" t="str">
        <x:f>IF(COUNTA(B25:I25)=0,"",IF(A25="","MISSING ID",IFERROR(IF(AND(LEFT(A25,1)="L",LEN(A25)=4,ISNUMBER(VALUE(RIGHT(A25,3)))),"OK","CHECK ID"),"CHECK ID")))</x:f>
        <x:v>OK</x:v>
      </x:c>
    </x:row>
    <x:row r="26" ht="48" customHeight="1">
      <x:c r="A26" s="62" t="str">
        <x:v>L050</x:v>
      </x:c>
      <x:c r="B26" s="62" t="str">
        <x:v>Min Zhang; Liang Wang; Fusheng Qiu; Xiaorui Liu (2023). Dynamic scheduling for flexible job shop with insufficient transportation resources via graph neural network and deep reinforcement learning. Computers &amp; Industrial Engineering. DOI: 10.1016/j.cie.2023.109718</x:v>
      </x:c>
      <x:c r="C26" s="62" t="str">
        <x:v>https://doi.org/10.1016/j.cie.2023.109718</x:v>
      </x:c>
      <x:c r="D26" s="62" t="str">
        <x:v>Metadata retrieved; abstract unavailable</x:v>
      </x:c>
      <x:c r="E26" s="62" t="str">
        <x:v>Provisional include — title/abstract screen</x:v>
      </x:c>
      <x:c r="F26" s="62" t="str">
        <x:v>Title/abstract screened; full-text pending</x:v>
      </x:c>
      <x:c r="G26" s="62" t="str">
        <x:v>workshop</x:v>
      </x:c>
      <x:c r="H26" s="62" t="str">
        <x:v>machine–AGV joint scheduling</x:v>
      </x:c>
      <x:c r="I26" s="62" t="str">
        <x:v>new concentrated-search record; queries=S1; databases=OpenAlex</x:v>
      </x:c>
      <x:c r="J26" s="62" t="str">
        <x:f>IF(COUNTA(B26:I26)=0,"",IF(A26="","MISSING ID",IFERROR(IF(AND(LEFT(A26,1)="L",LEN(A26)=4,ISNUMBER(VALUE(RIGHT(A26,3)))),"OK","CHECK ID"),"CHECK ID")))</x:f>
        <x:v>OK</x:v>
      </x:c>
    </x:row>
    <x:row r="27" ht="48" customHeight="1">
      <x:c r="A27" s="63" t="str">
        <x:v>L051</x:v>
      </x:c>
      <x:c r="B27" s="63" t="str">
        <x:v>Sihoon Moon; Sanghoon Lee; Kyung‐Joon Park (2023). Graph-based Reinforcement Learning for Flexible Job Shop Scheduling with Transportation Constraints. DOI: 10.1109/iecon51785.2023.10312647</x:v>
      </x:c>
      <x:c r="C27" s="63" t="str">
        <x:v>https://doi.org/10.1109/iecon51785.2023.10312647</x:v>
      </x:c>
      <x:c r="D27" s="63" t="str">
        <x:v>Metadata + abstract retrieved</x:v>
      </x:c>
      <x:c r="E27" s="63" t="str">
        <x:v>Provisional include — title/abstract screen</x:v>
      </x:c>
      <x:c r="F27" s="63" t="str">
        <x:v>Title/abstract screened; full-text pending</x:v>
      </x:c>
      <x:c r="G27" s="63" t="str">
        <x:v>workshop</x:v>
      </x:c>
      <x:c r="H27" s="63" t="str">
        <x:v>machine–AGV joint scheduling</x:v>
      </x:c>
      <x:c r="I27" s="63" t="str">
        <x:v>new concentrated-search record; queries=S1; databases=OpenAlex</x:v>
      </x:c>
      <x:c r="J27" s="63" t="str">
        <x:f>IF(COUNTA(B27:I27)=0,"",IF(A27="","MISSING ID",IFERROR(IF(AND(LEFT(A27,1)="L",LEN(A27)=4,ISNUMBER(VALUE(RIGHT(A27,3)))),"OK","CHECK ID"),"CHECK ID")))</x:f>
        <x:v>OK</x:v>
      </x:c>
    </x:row>
    <x:row r="28" ht="48" customHeight="1">
      <x:c r="A28" s="62" t="str">
        <x:v>L052</x:v>
      </x:c>
      <x:c r="B28" s="62" t="str">
        <x:v>Zixiao Pan; Ling Wang; Jie Zheng; Jing-fang Chen; Xing Wang (2022). A Learning-Based Multipopulation Evolutionary Optimization for Flexible Job Shop Scheduling Problem With Finite Transportation Resources. IEEE Transactions on Evolutionary Computation. DOI: 10.1109/tevc.2022.3219238</x:v>
      </x:c>
      <x:c r="C28" s="62" t="str">
        <x:v>https://doi.org/10.1109/tevc.2022.3219238</x:v>
      </x:c>
      <x:c r="D28" s="62" t="str">
        <x:v>Metadata + abstract retrieved</x:v>
      </x:c>
      <x:c r="E28" s="62" t="str">
        <x:v>Provisional include — title/abstract screen</x:v>
      </x:c>
      <x:c r="F28" s="62" t="str">
        <x:v>Title/abstract screened; full-text pending</x:v>
      </x:c>
      <x:c r="G28" s="62" t="str">
        <x:v>workshop</x:v>
      </x:c>
      <x:c r="H28" s="62" t="str">
        <x:v>machine–AGV joint scheduling</x:v>
      </x:c>
      <x:c r="I28" s="62" t="str">
        <x:v>new concentrated-search record; queries=S1,S6; databases=OpenAlex,OpenAlex-S6-trace</x:v>
      </x:c>
      <x:c r="J28" s="62" t="str">
        <x:f>IF(COUNTA(B28:I28)=0,"",IF(A28="","MISSING ID",IFERROR(IF(AND(LEFT(A28,1)="L",LEN(A28)=4,ISNUMBER(VALUE(RIGHT(A28,3)))),"OK","CHECK ID"),"CHECK ID")))</x:f>
        <x:v>OK</x:v>
      </x:c>
    </x:row>
    <x:row r="29" ht="48" customHeight="1">
      <x:c r="A29" s="63" t="str">
        <x:v>L053</x:v>
      </x:c>
      <x:c r="B29" s="63" t="str">
        <x:v>Jens Popper; Martin Ruskowski (2022). Using Multi-Agent Deep Reinforcement Learning For Flexible Job Shop Scheduling Problems. Procedia CIRP. DOI: 10.1016/j.procir.2022.09.039</x:v>
      </x:c>
      <x:c r="C29" s="63" t="str">
        <x:v>https://doi.org/10.1016/j.procir.2022.09.039</x:v>
      </x:c>
      <x:c r="D29" s="63" t="str">
        <x:v>Metadata + abstract retrieved</x:v>
      </x:c>
      <x:c r="E29" s="63" t="str">
        <x:v>Provisional include — title/abstract screen</x:v>
      </x:c>
      <x:c r="F29" s="63" t="str">
        <x:v>Title/abstract screened; full-text pending</x:v>
      </x:c>
      <x:c r="G29" s="63" t="str">
        <x:v>workshop</x:v>
      </x:c>
      <x:c r="H29" s="63" t="str">
        <x:v>machine–AGV joint scheduling</x:v>
      </x:c>
      <x:c r="I29" s="63" t="str">
        <x:v>new concentrated-search record; queries=S1; databases=OpenAlex</x:v>
      </x:c>
      <x:c r="J29" s="63" t="str">
        <x:f>IF(COUNTA(B29:I29)=0,"",IF(A29="","MISSING ID",IFERROR(IF(AND(LEFT(A29,1)="L",LEN(A29)=4,ISNUMBER(VALUE(RIGHT(A29,3)))),"OK","CHECK ID"),"CHECK ID")))</x:f>
        <x:v>OK</x:v>
      </x:c>
    </x:row>
    <x:row r="30" ht="48" customHeight="1">
      <x:c r="A30" s="62" t="str">
        <x:v>L054</x:v>
      </x:c>
      <x:c r="B30" s="62" t="str">
        <x:v>Jun Yan; Zhifeng Liu; Tao Zhang; Yueze Zhang (2021). Autonomous decision-making method of transportation process for flexible job shop scheduling problem based on reinforcement learning. DOI: 10.1109/mlise54096.2021.00049</x:v>
      </x:c>
      <x:c r="C30" s="62" t="str">
        <x:v>https://doi.org/10.1109/mlise54096.2021.00049</x:v>
      </x:c>
      <x:c r="D30" s="62" t="str">
        <x:v>Metadata + abstract retrieved</x:v>
      </x:c>
      <x:c r="E30" s="62" t="str">
        <x:v>Provisional include — title/abstract screen</x:v>
      </x:c>
      <x:c r="F30" s="62" t="str">
        <x:v>Title/abstract screened; full-text pending</x:v>
      </x:c>
      <x:c r="G30" s="62" t="str">
        <x:v>workshop</x:v>
      </x:c>
      <x:c r="H30" s="62" t="str">
        <x:v>machine–AGV joint scheduling</x:v>
      </x:c>
      <x:c r="I30" s="62" t="str">
        <x:v>new concentrated-search record; queries=S1; databases=OpenAlex</x:v>
      </x:c>
      <x:c r="J30" s="62" t="str">
        <x:f>IF(COUNTA(B30:I30)=0,"",IF(A30="","MISSING ID",IFERROR(IF(AND(LEFT(A30,1)="L",LEN(A30)=4,ISNUMBER(VALUE(RIGHT(A30,3)))),"OK","CHECK ID"),"CHECK ID")))</x:f>
        <x:v>OK</x:v>
      </x:c>
    </x:row>
    <x:row r="31" ht="48" customHeight="1">
      <x:c r="A31" s="63" t="str">
        <x:v>L055</x:v>
      </x:c>
      <x:c r="B31" s="63" t="str">
        <x:v>Jens Popper; Vassilios Yfantis; Martin Ruskowski (2021). Simultaneous Production and AGV Scheduling using Multi-Agent Deep Reinforcement Learning. Procedia CIRP. DOI: 10.1016/j.procir.2021.11.257</x:v>
      </x:c>
      <x:c r="C31" s="63" t="str">
        <x:v>https://doi.org/10.1016/j.procir.2021.11.257</x:v>
      </x:c>
      <x:c r="D31" s="63" t="str">
        <x:v>Metadata + abstract retrieved</x:v>
      </x:c>
      <x:c r="E31" s="63" t="str">
        <x:v>Provisional include — title/abstract screen</x:v>
      </x:c>
      <x:c r="F31" s="63" t="str">
        <x:v>Title/abstract screened; full-text pending</x:v>
      </x:c>
      <x:c r="G31" s="63" t="str">
        <x:v>workshop</x:v>
      </x:c>
      <x:c r="H31" s="63" t="str">
        <x:v>machine–AGV joint scheduling</x:v>
      </x:c>
      <x:c r="I31" s="63" t="str">
        <x:v>new concentrated-search record; queries=S1; databases=OpenAlex</x:v>
      </x:c>
      <x:c r="J31" s="63" t="str">
        <x:f>IF(COUNTA(B31:I31)=0,"",IF(A31="","MISSING ID",IFERROR(IF(AND(LEFT(A31,1)="L",LEN(A31)=4,ISNUMBER(VALUE(RIGHT(A31,3)))),"OK","CHECK ID"),"CHECK ID")))</x:f>
        <x:v>OK</x:v>
      </x:c>
    </x:row>
    <x:row r="32" ht="48" customHeight="1">
      <x:c r="A32" s="62" t="str">
        <x:v>L056</x:v>
      </x:c>
      <x:c r="B32" s="62" t="str">
        <x:v>Weiyao Cheng; Chaoyong Zhang; Leilei Meng; Biao Zhang; Hongyan Sang (2026). A matheuristic and imitation learning-driven evolutionary algorithm for the flexible job shop scheduling benchmark problem with discrete operation sequence flexibility. International Journal of Production Research. DOI: 10.1080/00207543.2025.2612155</x:v>
      </x:c>
      <x:c r="C32" s="62" t="str">
        <x:v>https://doi.org/10.1080/00207543.2025.2612155</x:v>
      </x:c>
      <x:c r="D32" s="62" t="str">
        <x:v>Metadata + abstract retrieved</x:v>
      </x:c>
      <x:c r="E32" s="62" t="str">
        <x:v>Provisional include — title/abstract screen</x:v>
      </x:c>
      <x:c r="F32" s="62" t="str">
        <x:v>Title/abstract screened; full-text pending</x:v>
      </x:c>
      <x:c r="G32" s="62" t="str">
        <x:v>workshop</x:v>
      </x:c>
      <x:c r="H32" s="62" t="str">
        <x:v>shop scheduling mechanism</x:v>
      </x:c>
      <x:c r="I32" s="62" t="str">
        <x:v>new concentrated-search record; queries=S6; databases=OpenAlex-S6-trace</x:v>
      </x:c>
      <x:c r="J32" s="62" t="str">
        <x:f>IF(COUNTA(B32:I32)=0,"",IF(A32="","MISSING ID",IFERROR(IF(AND(LEFT(A32,1)="L",LEN(A32)=4,ISNUMBER(VALUE(RIGHT(A32,3)))),"OK","CHECK ID"),"CHECK ID")))</x:f>
        <x:v>OK</x:v>
      </x:c>
    </x:row>
    <x:row r="33" ht="48" customHeight="1">
      <x:c r="A33" s="63" t="str">
        <x:v>L057</x:v>
      </x:c>
      <x:c r="B33" s="63" t="str">
        <x:v>Wenyu Zhang; Sihan Yang; Wanru Wang; Xinyi Ding; Yushu Yang (2026). A two-stage robust rescheduling for flexible job shop based on release time prediction using a Q-learning-based hyper-heuristic evolutionary algorithm. Engineering Applications of Artificial Intelligence. DOI: 10.1016/j.engappai.2026.114766</x:v>
      </x:c>
      <x:c r="C33" s="63" t="str">
        <x:v>https://doi.org/10.1016/j.engappai.2026.114766</x:v>
      </x:c>
      <x:c r="D33" s="63" t="str">
        <x:v>Metadata retrieved; abstract unavailable</x:v>
      </x:c>
      <x:c r="E33" s="63" t="str">
        <x:v>Provisional include — title/abstract screen</x:v>
      </x:c>
      <x:c r="F33" s="63" t="str">
        <x:v>Title/abstract screened; full-text pending</x:v>
      </x:c>
      <x:c r="G33" s="63" t="str">
        <x:v>workshop</x:v>
      </x:c>
      <x:c r="H33" s="63" t="str">
        <x:v>shop scheduling mechanism</x:v>
      </x:c>
      <x:c r="I33" s="63" t="str">
        <x:v>new concentrated-search record; queries=S6; databases=OpenAlex-S6-trace</x:v>
      </x:c>
      <x:c r="J33" s="63" t="str">
        <x:f>IF(COUNTA(B33:I33)=0,"",IF(A33="","MISSING ID",IFERROR(IF(AND(LEFT(A33,1)="L",LEN(A33)=4,ISNUMBER(VALUE(RIGHT(A33,3)))),"OK","CHECK ID"),"CHECK ID")))</x:f>
        <x:v>OK</x:v>
      </x:c>
    </x:row>
    <x:row r="34" ht="48" customHeight="1">
      <x:c r="A34" s="62" t="str">
        <x:v>L058</x:v>
      </x:c>
      <x:c r="B34" s="62" t="str">
        <x:v>Quentin Schau Federico Della Croce Olivier Ploton Vincent t'Kindt (2026). Heuristic approaches for solving a bilevel optimistic scheduling problem on parallel machines. arXiv</x:v>
      </x:c>
      <x:c r="C34" s="62" t="str">
        <x:v>https://arxiv.org/abs/2605.19760</x:v>
      </x:c>
      <x:c r="D34" s="62" t="str">
        <x:v>Metadata + abstract retrieved</x:v>
      </x:c>
      <x:c r="E34" s="62" t="str">
        <x:v>Provisional include — title/abstract screen</x:v>
      </x:c>
      <x:c r="F34" s="62" t="str">
        <x:v>Title/abstract screened; full-text pending</x:v>
      </x:c>
      <x:c r="G34" s="62" t="str">
        <x:v>cross-domain optimization</x:v>
      </x:c>
      <x:c r="H34" s="62" t="str">
        <x:v>transferable search-control mechanism</x:v>
      </x:c>
      <x:c r="I34" s="62" t="str">
        <x:v>new concentrated-search record; queries=S4; databases=arXiv</x:v>
      </x:c>
      <x:c r="J34" s="62" t="str">
        <x:f>IF(COUNTA(B34:I34)=0,"",IF(A34="","MISSING ID",IFERROR(IF(AND(LEFT(A34,1)="L",LEN(A34)=4,ISNUMBER(VALUE(RIGHT(A34,3)))),"OK","CHECK ID"),"CHECK ID")))</x:f>
        <x:v>OK</x:v>
      </x:c>
    </x:row>
    <x:row r="35" ht="48" customHeight="1">
      <x:c r="A35" s="63" t="str">
        <x:v>L059</x:v>
      </x:c>
      <x:c r="B35" s="63" t="str">
        <x:v>Abdelhakim Abdellaoui Issmail El Hallaoui Loubna Benabbou François Aubé Mouloud Amazouz (2026). Learning to recover: Adaptive local branching with reinforcement learning for log-truck routing and scheduling under disruptions. arXiv</x:v>
      </x:c>
      <x:c r="C35" s="63" t="str">
        <x:v>https://arxiv.org/abs/2607.20901</x:v>
      </x:c>
      <x:c r="D35" s="63" t="str">
        <x:v>Metadata + abstract retrieved</x:v>
      </x:c>
      <x:c r="E35" s="63" t="str">
        <x:v>Provisional include — title/abstract screen</x:v>
      </x:c>
      <x:c r="F35" s="63" t="str">
        <x:v>Title/abstract screened; full-text pending</x:v>
      </x:c>
      <x:c r="G35" s="63" t="str">
        <x:v>routing/transport</x:v>
      </x:c>
      <x:c r="H35" s="63" t="str">
        <x:v>transferable search-control mechanism</x:v>
      </x:c>
      <x:c r="I35" s="63" t="str">
        <x:v>new concentrated-search record; queries=S2; databases=arXiv</x:v>
      </x:c>
      <x:c r="J35" s="63" t="str">
        <x:f>IF(COUNTA(B35:I35)=0,"",IF(A35="","MISSING ID",IFERROR(IF(AND(LEFT(A35,1)="L",LEN(A35)=4,ISNUMBER(VALUE(RIGHT(A35,3)))),"OK","CHECK ID"),"CHECK ID")))</x:f>
        <x:v>OK</x:v>
      </x:c>
    </x:row>
    <x:row r="36" ht="48" customHeight="1">
      <x:c r="A36" s="62" t="str">
        <x:v>L060</x:v>
      </x:c>
      <x:c r="B36" s="62" t="str">
        <x:v>Haojie Li; Yongquan Zhou; Guo Zhou; Qifang Luo (2026). Multi-Objective Q-Learning Hyper-Heuristic Algorithm for Solving the Low-Carbon Distributed Fuzzy Flexible Job Shop Scheduling Problem with Variable Processing Speeds. SSRN Electronic Journal. DOI: 10.2139/ssrn.6170285</x:v>
      </x:c>
      <x:c r="C36" s="62" t="str">
        <x:v>https://doi.org/10.2139/ssrn.6170285</x:v>
      </x:c>
      <x:c r="D36" s="62" t="str">
        <x:v>Metadata retrieved; abstract unavailable</x:v>
      </x:c>
      <x:c r="E36" s="62" t="str">
        <x:v>Provisional include — title/abstract screen</x:v>
      </x:c>
      <x:c r="F36" s="62" t="str">
        <x:v>Title/abstract screened; full-text pending</x:v>
      </x:c>
      <x:c r="G36" s="62" t="str">
        <x:v>workshop</x:v>
      </x:c>
      <x:c r="H36" s="62" t="str">
        <x:v>shop scheduling mechanism</x:v>
      </x:c>
      <x:c r="I36" s="62" t="str">
        <x:v>new concentrated-search record; queries=S6; databases=OpenAlex-S6-trace</x:v>
      </x:c>
      <x:c r="J36" s="62" t="str">
        <x:f>IF(COUNTA(B36:I36)=0,"",IF(A36="","MISSING ID",IFERROR(IF(AND(LEFT(A36,1)="L",LEN(A36)=4,ISNUMBER(VALUE(RIGHT(A36,3)))),"OK","CHECK ID"),"CHECK ID")))</x:f>
        <x:v>OK</x:v>
      </x:c>
    </x:row>
    <x:row r="37" ht="48" customHeight="1">
      <x:c r="A37" s="63" t="str">
        <x:v>L061</x:v>
      </x:c>
      <x:c r="B37" s="63" t="str">
        <x:v>Sofiene Lassoued Asrat Gobachew Stefan Lier Andreas Schwung (2026). Policy-Based Deep Reinforcement Learning Hyperheuristics for Job-Shop Scheduling Problems. arXiv</x:v>
      </x:c>
      <x:c r="C37" s="63" t="str">
        <x:v>https://arxiv.org/abs/2601.11189</x:v>
      </x:c>
      <x:c r="D37" s="63" t="str">
        <x:v>Metadata + abstract retrieved</x:v>
      </x:c>
      <x:c r="E37" s="63" t="str">
        <x:v>Provisional include — title/abstract screen</x:v>
      </x:c>
      <x:c r="F37" s="63" t="str">
        <x:v>Title/abstract screened; full-text pending</x:v>
      </x:c>
      <x:c r="G37" s="63" t="str">
        <x:v>workshop</x:v>
      </x:c>
      <x:c r="H37" s="63" t="str">
        <x:v>shop scheduling mechanism</x:v>
      </x:c>
      <x:c r="I37" s="63" t="str">
        <x:v>new concentrated-search record; queries=S5; databases=arXiv</x:v>
      </x:c>
      <x:c r="J37" s="63" t="str">
        <x:f>IF(COUNTA(B37:I37)=0,"",IF(A37="","MISSING ID",IFERROR(IF(AND(LEFT(A37,1)="L",LEN(A37)=4,ISNUMBER(VALUE(RIGHT(A37,3)))),"OK","CHECK ID"),"CHECK ID")))</x:f>
        <x:v>OK</x:v>
      </x:c>
    </x:row>
    <x:row r="38" ht="48" customHeight="1">
      <x:c r="A38" s="62" t="str">
        <x:v>L062</x:v>
      </x:c>
      <x:c r="B38" s="62" t="str">
        <x:v>Benjamin Doerr Pietro S. Oliveto John Alasdair Warwicker (2026). Selection Hyper-heuristics Can Automatically Adjust the Learning Period to Optimally Solve Pseudo-Boolean Problems. arXiv. DOI: 10.1016/j.artint.2026.104560</x:v>
      </x:c>
      <x:c r="C38" s="62" t="str">
        <x:v>https://doi.org/10.1016/j.artint.2026.104560</x:v>
      </x:c>
      <x:c r="D38" s="62" t="str">
        <x:v>Metadata + abstract retrieved</x:v>
      </x:c>
      <x:c r="E38" s="62" t="str">
        <x:v>Provisional include — title/abstract screen</x:v>
      </x:c>
      <x:c r="F38" s="62" t="str">
        <x:v>Title/abstract screened; full-text pending</x:v>
      </x:c>
      <x:c r="G38" s="62" t="str">
        <x:v>cross-domain optimization</x:v>
      </x:c>
      <x:c r="H38" s="62" t="str">
        <x:v>transferable search-control mechanism</x:v>
      </x:c>
      <x:c r="I38" s="62" t="str">
        <x:v>new concentrated-search record; queries=S4; databases=arXiv</x:v>
      </x:c>
      <x:c r="J38" s="62" t="str">
        <x:f>IF(COUNTA(B38:I38)=0,"",IF(A38="","MISSING ID",IFERROR(IF(AND(LEFT(A38,1)="L",LEN(A38)=4,ISNUMBER(VALUE(RIGHT(A38,3)))),"OK","CHECK ID"),"CHECK ID")))</x:f>
        <x:v>OK</x:v>
      </x:c>
    </x:row>
    <x:row r="39" ht="48" customHeight="1">
      <x:c r="A39" s="63" t="str">
        <x:v>L063</x:v>
      </x:c>
      <x:c r="B39" s="63" t="str">
        <x:v>Evgenii Goncharov (2025). A hybrid heuristic algorithm for the resource-constrained project scheduling problem. arXiv</x:v>
      </x:c>
      <x:c r="C39" s="63" t="str">
        <x:v>https://arxiv.org/abs/2502.18330</x:v>
      </x:c>
      <x:c r="D39" s="63" t="str">
        <x:v>Metadata + abstract retrieved</x:v>
      </x:c>
      <x:c r="E39" s="63" t="str">
        <x:v>Provisional include — title/abstract screen</x:v>
      </x:c>
      <x:c r="F39" s="63" t="str">
        <x:v>Title/abstract screened; full-text pending</x:v>
      </x:c>
      <x:c r="G39" s="63" t="str">
        <x:v>cross-domain optimization</x:v>
      </x:c>
      <x:c r="H39" s="63" t="str">
        <x:v>transferable search-control mechanism</x:v>
      </x:c>
      <x:c r="I39" s="63" t="str">
        <x:v>new concentrated-search record; queries=S2; databases=arXiv</x:v>
      </x:c>
      <x:c r="J39" s="63" t="str">
        <x:f>IF(COUNTA(B39:I39)=0,"",IF(A39="","MISSING ID",IFERROR(IF(AND(LEFT(A39,1)="L",LEN(A39)=4,ISNUMBER(VALUE(RIGHT(A39,3)))),"OK","CHECK ID"),"CHECK ID")))</x:f>
        <x:v>OK</x:v>
      </x:c>
    </x:row>
    <x:row r="40" ht="48" customHeight="1">
      <x:c r="A40" s="62" t="str">
        <x:v>L064</x:v>
      </x:c>
      <x:c r="B40" s="62" t="str">
        <x:v>Kassem Danach; Hassan Harb; Hussin Hejase; Louai Saker (2025). A Hybrid Metaheuristic Framework with Reinforcement Learning–Based Heuristic Selection for Large-Scale Combinatorial Optimization. European Journal of Pure and Applied Mathematics. DOI: 10.29020/nybg.ejpam.v18i3.6602</x:v>
      </x:c>
      <x:c r="C40" s="62" t="str">
        <x:v>https://doi.org/10.29020/nybg.ejpam.v18i3.6602</x:v>
      </x:c>
      <x:c r="D40" s="62" t="str">
        <x:v>Metadata + abstract retrieved</x:v>
      </x:c>
      <x:c r="E40" s="62" t="str">
        <x:v>Provisional include — title/abstract screen</x:v>
      </x:c>
      <x:c r="F40" s="62" t="str">
        <x:v>Title/abstract screened; full-text pending</x:v>
      </x:c>
      <x:c r="G40" s="62" t="str">
        <x:v>routing/transport</x:v>
      </x:c>
      <x:c r="H40" s="62" t="str">
        <x:v>transferable search-control mechanism</x:v>
      </x:c>
      <x:c r="I40" s="62" t="str">
        <x:v>new concentrated-search record; queries=S3; databases=OpenAlex</x:v>
      </x:c>
      <x:c r="J40" s="62" t="str">
        <x:f>IF(COUNTA(B40:I40)=0,"",IF(A40="","MISSING ID",IFERROR(IF(AND(LEFT(A40,1)="L",LEN(A40)=4,ISNUMBER(VALUE(RIGHT(A40,3)))),"OK","CHECK ID"),"CHECK ID")))</x:f>
        <x:v>OK</x:v>
      </x:c>
    </x:row>
    <x:row r="41" ht="48" customHeight="1">
      <x:c r="A41" s="63" t="str">
        <x:v>L065</x:v>
      </x:c>
      <x:c r="B41" s="63" t="str">
        <x:v>Sha Wang; John H. Drake; David Melder; John R. Woodward; Edmund Burke (2025). A selection hyper-heuristic approach to the single airport slot allocation problem. Computers &amp; Operations Research. DOI: 10.1016/j.cor.2025.107223</x:v>
      </x:c>
      <x:c r="C41" s="63" t="str">
        <x:v>https://doi.org/10.1016/j.cor.2025.107223</x:v>
      </x:c>
      <x:c r="D41" s="63" t="str">
        <x:v>Metadata + abstract retrieved</x:v>
      </x:c>
      <x:c r="E41" s="63" t="str">
        <x:v>Provisional include — title/abstract screen</x:v>
      </x:c>
      <x:c r="F41" s="63" t="str">
        <x:v>Title/abstract screened; full-text pending</x:v>
      </x:c>
      <x:c r="G41" s="63" t="str">
        <x:v>cross-domain optimization</x:v>
      </x:c>
      <x:c r="H41" s="63" t="str">
        <x:v>transferable search-control mechanism</x:v>
      </x:c>
      <x:c r="I41" s="63" t="str">
        <x:v>new concentrated-search record; queries=S6; databases=OpenAlex-S6-trace</x:v>
      </x:c>
      <x:c r="J41" s="63" t="str">
        <x:f>IF(COUNTA(B41:I41)=0,"",IF(A41="","MISSING ID",IFERROR(IF(AND(LEFT(A41,1)="L",LEN(A41)=4,ISNUMBER(VALUE(RIGHT(A41,3)))),"OK","CHECK ID"),"CHECK ID")))</x:f>
        <x:v>OK</x:v>
      </x:c>
    </x:row>
    <x:row r="42" ht="48" customHeight="1">
      <x:c r="A42" s="62" t="str">
        <x:v>L066</x:v>
      </x:c>
      <x:c r="B42" s="62" t="str">
        <x:v>Mehmet Emin Aydın; Rafet Durgut; Abdur Rakib; Khoa Phung (2025). Adaptive operator selection in heuristic optimization utilizing generalized experience with reinforcement learning. International Journal of Parallel Emergent and Distributed Systems. DOI: 10.1080/17445760.2025.2605297</x:v>
      </x:c>
      <x:c r="C42" s="62" t="str">
        <x:v>https://doi.org/10.1080/17445760.2025.2605297</x:v>
      </x:c>
      <x:c r="D42" s="62" t="str">
        <x:v>Metadata + abstract retrieved</x:v>
      </x:c>
      <x:c r="E42" s="62" t="str">
        <x:v>Provisional include — title/abstract screen</x:v>
      </x:c>
      <x:c r="F42" s="62" t="str">
        <x:v>Title/abstract screened; full-text pending</x:v>
      </x:c>
      <x:c r="G42" s="62" t="str">
        <x:v>cross-domain optimization</x:v>
      </x:c>
      <x:c r="H42" s="62" t="str">
        <x:v>transferable search-control mechanism</x:v>
      </x:c>
      <x:c r="I42" s="62" t="str">
        <x:v>new concentrated-search record; queries=S6; databases=OpenAlex-S6-trace</x:v>
      </x:c>
      <x:c r="J42" s="62" t="str">
        <x:f>IF(COUNTA(B42:I42)=0,"",IF(A42="","MISSING ID",IFERROR(IF(AND(LEFT(A42,1)="L",LEN(A42)=4,ISNUMBER(VALUE(RIGHT(A42,3)))),"OK","CHECK ID"),"CHECK ID")))</x:f>
        <x:v>OK</x:v>
      </x:c>
    </x:row>
    <x:row r="43" ht="48" customHeight="1">
      <x:c r="A43" s="63" t="str">
        <x:v>L067</x:v>
      </x:c>
      <x:c r="B43" s="63" t="str">
        <x:v>Xu Luo; Yong Liu; Jiawei Wu (2025). Dynamic Location–Allocation–Routing scheduling for long-range maritime rescue operations using shipboard helicopters: A Q-learning-based hyper-heuristic approach. Computers &amp; Industrial Engineering. DOI: 10.1016/j.cie.2025.111722</x:v>
      </x:c>
      <x:c r="C43" s="63" t="str">
        <x:v>https://doi.org/10.1016/j.cie.2025.111722</x:v>
      </x:c>
      <x:c r="D43" s="63" t="str">
        <x:v>Metadata retrieved; abstract unavailable</x:v>
      </x:c>
      <x:c r="E43" s="63" t="str">
        <x:v>Provisional include — title/abstract screen</x:v>
      </x:c>
      <x:c r="F43" s="63" t="str">
        <x:v>Title/abstract screened; full-text pending</x:v>
      </x:c>
      <x:c r="G43" s="63" t="str">
        <x:v>routing/transport</x:v>
      </x:c>
      <x:c r="H43" s="63" t="str">
        <x:v>transferable search-control mechanism</x:v>
      </x:c>
      <x:c r="I43" s="63" t="str">
        <x:v>new concentrated-search record; queries=S6; databases=OpenAlex-S6-trace</x:v>
      </x:c>
      <x:c r="J43" s="63" t="str">
        <x:f>IF(COUNTA(B43:I43)=0,"",IF(A43="","MISSING ID",IFERROR(IF(AND(LEFT(A43,1)="L",LEN(A43)=4,ISNUMBER(VALUE(RIGHT(A43,3)))),"OK","CHECK ID"),"CHECK ID")))</x:f>
        <x:v>OK</x:v>
      </x:c>
    </x:row>
    <x:row r="44" ht="48" customHeight="1">
      <x:c r="A44" s="62" t="str">
        <x:v>L068</x:v>
      </x:c>
      <x:c r="B44" s="62" t="str">
        <x:v>Yueyi Li; Mehrdad Mohammadi; Xiaodong Zhang; Yunxing Lan; Willem van Jaarsveld (2025). Integrated trucks assignment and scheduling problem with mixed service mode docks: A Q-learning based adaptive large neighborhood search algorithm. European Journal of Operational Research. DOI: 10.1016/j.ejor.2025.12.036</x:v>
      </x:c>
      <x:c r="C44" s="62" t="str">
        <x:v>https://doi.org/10.1016/j.ejor.2025.12.036</x:v>
      </x:c>
      <x:c r="D44" s="62" t="str">
        <x:v>Metadata + abstract retrieved</x:v>
      </x:c>
      <x:c r="E44" s="62" t="str">
        <x:v>Provisional include — title/abstract screen</x:v>
      </x:c>
      <x:c r="F44" s="62" t="str">
        <x:v>Title/abstract screened; full-text pending</x:v>
      </x:c>
      <x:c r="G44" s="62" t="str">
        <x:v>cross-domain optimization</x:v>
      </x:c>
      <x:c r="H44" s="62" t="str">
        <x:v>transferable search-control mechanism</x:v>
      </x:c>
      <x:c r="I44" s="62" t="str">
        <x:v>new concentrated-search record; queries=S6; databases=OpenAlex-S6-trace</x:v>
      </x:c>
      <x:c r="J44" s="62" t="str">
        <x:f>IF(COUNTA(B44:I44)=0,"",IF(A44="","MISSING ID",IFERROR(IF(AND(LEFT(A44,1)="L",LEN(A44)=4,ISNUMBER(VALUE(RIGHT(A44,3)))),"OK","CHECK ID"),"CHECK ID")))</x:f>
        <x:v>OK</x:v>
      </x:c>
    </x:row>
    <x:row r="45" ht="48" customHeight="1">
      <x:c r="A45" s="63" t="str">
        <x:v>L069</x:v>
      </x:c>
      <x:c r="B45" s="63" t="str">
        <x:v>Yaping Fu; ZhengPei Zhang; Min Huang; Xiwang Guo; Liang Qi (2025). Multi-Objective Integrated Energy-Efficient Scheduling of Distributed Flexible Job Shop and Vehicle Routing by Knowledge-and-Learning-Based Hyper-Heuristics. IEEE Transactions on Emerging Topics in Computational Intelligence. DOI: 10.1109/tetci.2025.3540422</x:v>
      </x:c>
      <x:c r="C45" s="63" t="str">
        <x:v>https://doi.org/10.1109/tetci.2025.3540422</x:v>
      </x:c>
      <x:c r="D45" s="63" t="str">
        <x:v>Metadata + abstract retrieved</x:v>
      </x:c>
      <x:c r="E45" s="63" t="str">
        <x:v>Provisional include — title/abstract screen</x:v>
      </x:c>
      <x:c r="F45" s="63" t="str">
        <x:v>Title/abstract screened; full-text pending</x:v>
      </x:c>
      <x:c r="G45" s="63" t="str">
        <x:v>workshop</x:v>
      </x:c>
      <x:c r="H45" s="63" t="str">
        <x:v>shop scheduling mechanism</x:v>
      </x:c>
      <x:c r="I45" s="63" t="str">
        <x:v>new concentrated-search record; queries=S5; databases=OpenAlex</x:v>
      </x:c>
      <x:c r="J45" s="63" t="str">
        <x:f>IF(COUNTA(B45:I45)=0,"",IF(A45="","MISSING ID",IFERROR(IF(AND(LEFT(A45,1)="L",LEN(A45)=4,ISNUMBER(VALUE(RIGHT(A45,3)))),"OK","CHECK ID"),"CHECK ID")))</x:f>
        <x:v>OK</x:v>
      </x:c>
    </x:row>
    <x:row r="46" ht="48" customHeight="1">
      <x:c r="A46" s="62" t="str">
        <x:v>L070</x:v>
      </x:c>
      <x:c r="B46" s="62" t="str">
        <x:v>Yong Wang; Jie Zhang; Fangfang Zhang; Gai‐Ge Wang; Mengjie Zhang (2025). Niching Genetic Programming With Elite Archive for Multi-Objective Dynamic Scheduling. IEEE Transactions on Emerging Topics in Computational Intelligence. DOI: 10.1109/tetci.2025.3623315</x:v>
      </x:c>
      <x:c r="C46" s="62" t="str">
        <x:v>https://doi.org/10.1109/tetci.2025.3623315</x:v>
      </x:c>
      <x:c r="D46" s="62" t="str">
        <x:v>Metadata + abstract retrieved</x:v>
      </x:c>
      <x:c r="E46" s="62" t="str">
        <x:v>Provisional include — title/abstract screen</x:v>
      </x:c>
      <x:c r="F46" s="62" t="str">
        <x:v>Title/abstract screened; full-text pending</x:v>
      </x:c>
      <x:c r="G46" s="62" t="str">
        <x:v>workshop</x:v>
      </x:c>
      <x:c r="H46" s="62" t="str">
        <x:v>shop scheduling mechanism</x:v>
      </x:c>
      <x:c r="I46" s="62" t="str">
        <x:v>new concentrated-search record; queries=S6; databases=OpenAlex-S6-trace</x:v>
      </x:c>
      <x:c r="J46" s="62" t="str">
        <x:f>IF(COUNTA(B46:I46)=0,"",IF(A46="","MISSING ID",IFERROR(IF(AND(LEFT(A46,1)="L",LEN(A46)=4,ISNUMBER(VALUE(RIGHT(A46,3)))),"OK","CHECK ID"),"CHECK ID")))</x:f>
        <x:v>OK</x:v>
      </x:c>
    </x:row>
    <x:row r="47" ht="48" customHeight="1">
      <x:c r="A47" s="63" t="str">
        <x:v>L071</x:v>
      </x:c>
      <x:c r="B47" s="63" t="str">
        <x:v>Xiaolong Chen; Junqiang Li; Zunxun Wang; Qingda Chen; Kaizhou Gao; Quan-Ke Pan (2025). Optimizing Dynamic Flexible Job Shop Scheduling Using an Evolutionary Multitask Optimization Framework and Genetic Programming. IEEE Transactions on Evolutionary Computation. DOI: 10.1109/tevc.2025.3543770</x:v>
      </x:c>
      <x:c r="C47" s="63" t="str">
        <x:v>https://doi.org/10.1109/tevc.2025.3543770</x:v>
      </x:c>
      <x:c r="D47" s="63" t="str">
        <x:v>Metadata + abstract retrieved</x:v>
      </x:c>
      <x:c r="E47" s="63" t="str">
        <x:v>Provisional include — title/abstract screen</x:v>
      </x:c>
      <x:c r="F47" s="63" t="str">
        <x:v>Title/abstract screened; full-text pending</x:v>
      </x:c>
      <x:c r="G47" s="63" t="str">
        <x:v>workshop</x:v>
      </x:c>
      <x:c r="H47" s="63" t="str">
        <x:v>shop scheduling mechanism</x:v>
      </x:c>
      <x:c r="I47" s="63" t="str">
        <x:v>new concentrated-search record; queries=S6; databases=OpenAlex-S6-trace</x:v>
      </x:c>
      <x:c r="J47" s="63" t="str">
        <x:f>IF(COUNTA(B47:I47)=0,"",IF(A47="","MISSING ID",IFERROR(IF(AND(LEFT(A47,1)="L",LEN(A47)=4,ISNUMBER(VALUE(RIGHT(A47,3)))),"OK","CHECK ID"),"CHECK ID")))</x:f>
        <x:v>OK</x:v>
      </x:c>
    </x:row>
    <x:row r="48" ht="48" customHeight="1">
      <x:c r="A48" s="62" t="str">
        <x:v>L072</x:v>
      </x:c>
      <x:c r="B48" s="62" t="str">
        <x:v>Yang Lv Rong Hu Bin Qian Jian-Bo Yang (2025). Q-learning-based Hierarchical Cooperative Local Search for Steelmaking-continuous Casting Scheduling Problem. arXiv</x:v>
      </x:c>
      <x:c r="C48" s="62" t="str">
        <x:v>https://arxiv.org/abs/2506.08608</x:v>
      </x:c>
      <x:c r="D48" s="62" t="str">
        <x:v>Metadata + abstract retrieved</x:v>
      </x:c>
      <x:c r="E48" s="62" t="str">
        <x:v>Provisional include — title/abstract screen</x:v>
      </x:c>
      <x:c r="F48" s="62" t="str">
        <x:v>Title/abstract screened; full-text pending</x:v>
      </x:c>
      <x:c r="G48" s="62" t="str">
        <x:v>cross-domain optimization</x:v>
      </x:c>
      <x:c r="H48" s="62" t="str">
        <x:v>transferable search-control mechanism</x:v>
      </x:c>
      <x:c r="I48" s="62" t="str">
        <x:v>new concentrated-search record; queries=S2; databases=arXiv</x:v>
      </x:c>
      <x:c r="J48" s="62" t="str">
        <x:f>IF(COUNTA(B48:I48)=0,"",IF(A48="","MISSING ID",IFERROR(IF(AND(LEFT(A48,1)="L",LEN(A48)=4,ISNUMBER(VALUE(RIGHT(A48,3)))),"OK","CHECK ID"),"CHECK ID")))</x:f>
        <x:v>OK</x:v>
      </x:c>
    </x:row>
    <x:row r="49" ht="48" customHeight="1">
      <x:c r="A49" s="63" t="str">
        <x:v>L073</x:v>
      </x:c>
      <x:c r="B49" s="63" t="str">
        <x:v>Ziyu Zhang; Xinyu Li; Liang Gao; Qihao Liu; Jin Huang (2025). Tackling dual-resource flexible job shop scheduling problem in the production line reconfiguration scenario: An efficient meta-heuristic with critical path-based neighborhood search. Advanced Engineering Informatics. DOI: 10.1016/j.aei.2025.103282</x:v>
      </x:c>
      <x:c r="C49" s="63" t="str">
        <x:v>https://doi.org/10.1016/j.aei.2025.103282</x:v>
      </x:c>
      <x:c r="D49" s="63" t="str">
        <x:v>Metadata retrieved; abstract unavailable</x:v>
      </x:c>
      <x:c r="E49" s="63" t="str">
        <x:v>Provisional include — title/abstract screen</x:v>
      </x:c>
      <x:c r="F49" s="63" t="str">
        <x:v>Title/abstract screened; full-text pending</x:v>
      </x:c>
      <x:c r="G49" s="63" t="str">
        <x:v>workshop</x:v>
      </x:c>
      <x:c r="H49" s="63" t="str">
        <x:v>shop scheduling mechanism</x:v>
      </x:c>
      <x:c r="I49" s="63" t="str">
        <x:v>new concentrated-search record; queries=S6; databases=OpenAlex-S6-trace</x:v>
      </x:c>
      <x:c r="J49" s="63" t="str">
        <x:f>IF(COUNTA(B49:I49)=0,"",IF(A49="","MISSING ID",IFERROR(IF(AND(LEFT(A49,1)="L",LEN(A49)=4,ISNUMBER(VALUE(RIGHT(A49,3)))),"OK","CHECK ID"),"CHECK ID")))</x:f>
        <x:v>OK</x:v>
      </x:c>
    </x:row>
    <x:row r="50" ht="48" customHeight="1">
      <x:c r="A50" s="62" t="str">
        <x:v>L074</x:v>
      </x:c>
      <x:c r="B50" s="62" t="str">
        <x:v>Parisa Torabi; Ahmad Hemmati; Anna Oleynik; Guttorm Alendal (2024). A deep reinforcement learning hyperheuristic for the covering tour problem with varying coverage. Computers &amp; Operations Research. DOI: 10.1016/j.cor.2024.106881</x:v>
      </x:c>
      <x:c r="C50" s="62" t="str">
        <x:v>https://doi.org/10.1016/j.cor.2024.106881</x:v>
      </x:c>
      <x:c r="D50" s="62" t="str">
        <x:v>Metadata + abstract retrieved</x:v>
      </x:c>
      <x:c r="E50" s="62" t="str">
        <x:v>Provisional include — title/abstract screen</x:v>
      </x:c>
      <x:c r="F50" s="62" t="str">
        <x:v>Title/abstract screened; full-text pending</x:v>
      </x:c>
      <x:c r="G50" s="62" t="str">
        <x:v>cross-domain optimization</x:v>
      </x:c>
      <x:c r="H50" s="62" t="str">
        <x:v>transferable search-control mechanism</x:v>
      </x:c>
      <x:c r="I50" s="62" t="str">
        <x:v>new concentrated-search record; queries=S3,S6; databases=OpenAlex,OpenAlex-S6-trace</x:v>
      </x:c>
      <x:c r="J50" s="62" t="str">
        <x:f>IF(COUNTA(B50:I50)=0,"",IF(A50="","MISSING ID",IFERROR(IF(AND(LEFT(A50,1)="L",LEN(A50)=4,ISNUMBER(VALUE(RIGHT(A50,3)))),"OK","CHECK ID"),"CHECK ID")))</x:f>
        <x:v>OK</x:v>
      </x:c>
    </x:row>
    <x:row r="51" ht="48" customHeight="1">
      <x:c r="A51" s="63" t="str">
        <x:v>L075</x:v>
      </x:c>
      <x:c r="B51" s="63" t="str">
        <x:v>Chao Wang; Mengmeng Cao; Hao Jiang; Xiaoshu Xiang; Xingyi Zhang (2024). A Deep Reinforcement Learning-Based Adaptive Large Neighborhood Search for Capacitated Electric Vehicle Routing Problems. IEEE Transactions on Emerging Topics in Computational Intelligence. DOI: 10.1109/tetci.2024.3444698</x:v>
      </x:c>
      <x:c r="C51" s="63" t="str">
        <x:v>https://doi.org/10.1109/tetci.2024.3444698</x:v>
      </x:c>
      <x:c r="D51" s="63" t="str">
        <x:v>Metadata + abstract retrieved</x:v>
      </x:c>
      <x:c r="E51" s="63" t="str">
        <x:v>Provisional include — title/abstract screen</x:v>
      </x:c>
      <x:c r="F51" s="63" t="str">
        <x:v>Title/abstract screened; full-text pending</x:v>
      </x:c>
      <x:c r="G51" s="63" t="str">
        <x:v>routing/transport</x:v>
      </x:c>
      <x:c r="H51" s="63" t="str">
        <x:v>transferable search-control mechanism</x:v>
      </x:c>
      <x:c r="I51" s="63" t="str">
        <x:v>new concentrated-search record; queries=S3; databases=OpenAlex</x:v>
      </x:c>
      <x:c r="J51" s="63" t="str">
        <x:f>IF(COUNTA(B51:I51)=0,"",IF(A51="","MISSING ID",IFERROR(IF(AND(LEFT(A51,1)="L",LEN(A51)=4,ISNUMBER(VALUE(RIGHT(A51,3)))),"OK","CHECK ID"),"CHECK ID")))</x:f>
        <x:v>OK</x:v>
      </x:c>
    </x:row>
    <x:row r="52" ht="48" customHeight="1">
      <x:c r="A52" s="62" t="str">
        <x:v>L076</x:v>
      </x:c>
      <x:c r="B52" s="62" t="str">
        <x:v>Shichen Tian; Chunjiang Zhang; Jiaxin Fan; Xinyu Li; Liang Gao (2024). A genetic algorithm with critical path-based variable neighborhood search for distributed assembly job shop scheduling problem. Swarm and Evolutionary Computation. DOI: 10.1016/j.swevo.2024.101485</x:v>
      </x:c>
      <x:c r="C52" s="62" t="str">
        <x:v>https://doi.org/10.1016/j.swevo.2024.101485</x:v>
      </x:c>
      <x:c r="D52" s="62" t="str">
        <x:v>Metadata retrieved; abstract unavailable</x:v>
      </x:c>
      <x:c r="E52" s="62" t="str">
        <x:v>Provisional include — title/abstract screen</x:v>
      </x:c>
      <x:c r="F52" s="62" t="str">
        <x:v>Title/abstract screened; full-text pending</x:v>
      </x:c>
      <x:c r="G52" s="62" t="str">
        <x:v>workshop</x:v>
      </x:c>
      <x:c r="H52" s="62" t="str">
        <x:v>shop scheduling mechanism</x:v>
      </x:c>
      <x:c r="I52" s="62" t="str">
        <x:v>new concentrated-search record; queries=S2; databases=OpenAlex</x:v>
      </x:c>
      <x:c r="J52" s="62" t="str">
        <x:f>IF(COUNTA(B52:I52)=0,"",IF(A52="","MISSING ID",IFERROR(IF(AND(LEFT(A52,1)="L",LEN(A52)=4,ISNUMBER(VALUE(RIGHT(A52,3)))),"OK","CHECK ID"),"CHECK ID")))</x:f>
        <x:v>OK</x:v>
      </x:c>
    </x:row>
    <x:row r="53" ht="48" customHeight="1">
      <x:c r="A53" s="63" t="str">
        <x:v>L077</x:v>
      </x:c>
      <x:c r="B53" s="63" t="str">
        <x:v>Syu-Ning Johnn; Victor-Alexandru Darvariu; Julia Handl; Jörg Kalcsics (2024). A Graph Reinforcement Learning Framework for Neural Adaptive Large Neighbourhood Search. Computers &amp; Operations Research. DOI: 10.1016/j.cor.2024.106791</x:v>
      </x:c>
      <x:c r="C53" s="63" t="str">
        <x:v>https://doi.org/10.1016/j.cor.2024.106791</x:v>
      </x:c>
      <x:c r="D53" s="63" t="str">
        <x:v>Metadata + abstract retrieved</x:v>
      </x:c>
      <x:c r="E53" s="63" t="str">
        <x:v>Provisional include — title/abstract screen</x:v>
      </x:c>
      <x:c r="F53" s="63" t="str">
        <x:v>Title/abstract screened; full-text pending</x:v>
      </x:c>
      <x:c r="G53" s="63" t="str">
        <x:v>routing/transport</x:v>
      </x:c>
      <x:c r="H53" s="63" t="str">
        <x:v>transferable search-control mechanism</x:v>
      </x:c>
      <x:c r="I53" s="63" t="str">
        <x:v>new concentrated-search record; queries=S6; databases=OpenAlex-S6-trace,OpenAlex-S6-seed</x:v>
      </x:c>
      <x:c r="J53" s="63" t="str">
        <x:f>IF(COUNTA(B53:I53)=0,"",IF(A53="","MISSING ID",IFERROR(IF(AND(LEFT(A53,1)="L",LEN(A53)=4,ISNUMBER(VALUE(RIGHT(A53,3)))),"OK","CHECK ID"),"CHECK ID")))</x:f>
        <x:v>OK</x:v>
      </x:c>
    </x:row>
    <x:row r="54" ht="48" customHeight="1">
      <x:c r="A54" s="62" t="str">
        <x:v>L078</x:v>
      </x:c>
      <x:c r="B54" s="62" t="str">
        <x:v>Feige Liu Chao Lu Xin Li (2024). A History-Guided Regional Partitioning Evolutionary Optimization for Solving the Flexible Job Shop Problem with Limited Multi-load Automated Guided Vehicles. arXiv</x:v>
      </x:c>
      <x:c r="C54" s="62" t="str">
        <x:v>https://arxiv.org/abs/2409.18742</x:v>
      </x:c>
      <x:c r="D54" s="62" t="str">
        <x:v>Metadata + abstract retrieved</x:v>
      </x:c>
      <x:c r="E54" s="62" t="str">
        <x:v>Provisional include — title/abstract screen</x:v>
      </x:c>
      <x:c r="F54" s="62" t="str">
        <x:v>Title/abstract screened; full-text pending</x:v>
      </x:c>
      <x:c r="G54" s="62" t="str">
        <x:v>workshop</x:v>
      </x:c>
      <x:c r="H54" s="62" t="str">
        <x:v>machine–AGV joint scheduling</x:v>
      </x:c>
      <x:c r="I54" s="62" t="str">
        <x:v>new concentrated-search record; queries=S2; databases=arXiv</x:v>
      </x:c>
      <x:c r="J54" s="62" t="str">
        <x:f>IF(COUNTA(B54:I54)=0,"",IF(A54="","MISSING ID",IFERROR(IF(AND(LEFT(A54,1)="L",LEN(A54)=4,ISNUMBER(VALUE(RIGHT(A54,3)))),"OK","CHECK ID"),"CHECK ID")))</x:f>
        <x:v>OK</x:v>
      </x:c>
    </x:row>
    <x:row r="55" ht="48" customHeight="1">
      <x:c r="A55" s="63" t="str">
        <x:v>L079</x:v>
      </x:c>
      <x:c r="B55" s="63" t="str">
        <x:v>Ningjun Xu; Zhangsong Shi; Shihong Yin; Zhengrong Xiang (2024). A hyper-heuristic with deep Q-network for the multi-objective unmanned surface vehicles scheduling problem. Neurocomputing. DOI: 10.1016/j.neucom.2024.127943</x:v>
      </x:c>
      <x:c r="C55" s="63" t="str">
        <x:v>https://doi.org/10.1016/j.neucom.2024.127943</x:v>
      </x:c>
      <x:c r="D55" s="63" t="str">
        <x:v>Metadata retrieved; abstract unavailable</x:v>
      </x:c>
      <x:c r="E55" s="63" t="str">
        <x:v>Provisional include — title/abstract screen</x:v>
      </x:c>
      <x:c r="F55" s="63" t="str">
        <x:v>Title/abstract screened; full-text pending</x:v>
      </x:c>
      <x:c r="G55" s="63" t="str">
        <x:v>cross-domain optimization</x:v>
      </x:c>
      <x:c r="H55" s="63" t="str">
        <x:v>transferable search-control mechanism</x:v>
      </x:c>
      <x:c r="I55" s="63" t="str">
        <x:v>new concentrated-search record; queries=S5; databases=OpenAlex</x:v>
      </x:c>
      <x:c r="J55" s="63" t="str">
        <x:f>IF(COUNTA(B55:I55)=0,"",IF(A55="","MISSING ID",IFERROR(IF(AND(LEFT(A55,1)="L",LEN(A55)=4,ISNUMBER(VALUE(RIGHT(A55,3)))),"OK","CHECK ID"),"CHECK ID")))</x:f>
        <x:v>OK</x:v>
      </x:c>
    </x:row>
    <x:row r="56" ht="48" customHeight="1">
      <x:c r="A56" s="62" t="str">
        <x:v>L080</x:v>
      </x:c>
      <x:c r="B56" s="62" t="str">
        <x:v>Qi Yan; Hongfeng Wang; Shengxiang Yang (2024). A Learning-Assisted Bi-Population Evolutionary Algorithm for Distributed Flexible Job-Shop Scheduling With Maintenance Decisions. IEEE Transactions on Evolutionary Computation. DOI: 10.1109/tevc.2024.3400043</x:v>
      </x:c>
      <x:c r="C56" s="62" t="str">
        <x:v>https://doi.org/10.1109/tevc.2024.3400043</x:v>
      </x:c>
      <x:c r="D56" s="62" t="str">
        <x:v>Metadata + abstract retrieved</x:v>
      </x:c>
      <x:c r="E56" s="62" t="str">
        <x:v>Provisional include — title/abstract screen</x:v>
      </x:c>
      <x:c r="F56" s="62" t="str">
        <x:v>Title/abstract screened; full-text pending</x:v>
      </x:c>
      <x:c r="G56" s="62" t="str">
        <x:v>workshop</x:v>
      </x:c>
      <x:c r="H56" s="62" t="str">
        <x:v>shop scheduling mechanism</x:v>
      </x:c>
      <x:c r="I56" s="62" t="str">
        <x:v>new concentrated-search record; queries=S6; databases=OpenAlex-S6-trace</x:v>
      </x:c>
      <x:c r="J56" s="62" t="str">
        <x:f>IF(COUNTA(B56:I56)=0,"",IF(A56="","MISSING ID",IFERROR(IF(AND(LEFT(A56,1)="L",LEN(A56)=4,ISNUMBER(VALUE(RIGHT(A56,3)))),"OK","CHECK ID"),"CHECK ID")))</x:f>
        <x:v>OK</x:v>
      </x:c>
    </x:row>
    <x:row r="57" ht="48" customHeight="1">
      <x:c r="A57" s="63" t="str">
        <x:v>L081</x:v>
      </x:c>
      <x:c r="B57" s="63" t="str">
        <x:v>Fuqing Zhao; Yuebao Liu; Tianpeng Xu; Jonrinaldi Jonrinaldi (2024). A reinforcement learning hyper-heuristic algorithm for the distributed flowshops scheduling problem under consideration of emergency order insertion. Applied Soft Computing. DOI: 10.1016/j.asoc.2024.112461</x:v>
      </x:c>
      <x:c r="C57" s="63" t="str">
        <x:v>https://doi.org/10.1016/j.asoc.2024.112461</x:v>
      </x:c>
      <x:c r="D57" s="63" t="str">
        <x:v>Metadata retrieved; abstract unavailable</x:v>
      </x:c>
      <x:c r="E57" s="63" t="str">
        <x:v>Provisional include — title/abstract screen</x:v>
      </x:c>
      <x:c r="F57" s="63" t="str">
        <x:v>Title/abstract screened; full-text pending</x:v>
      </x:c>
      <x:c r="G57" s="63" t="str">
        <x:v>workshop</x:v>
      </x:c>
      <x:c r="H57" s="63" t="str">
        <x:v>shop scheduling mechanism</x:v>
      </x:c>
      <x:c r="I57" s="63" t="str">
        <x:v>new concentrated-search record; queries=S6; databases=OpenAlex-S6-trace</x:v>
      </x:c>
      <x:c r="J57" s="63" t="str">
        <x:f>IF(COUNTA(B57:I57)=0,"",IF(A57="","MISSING ID",IFERROR(IF(AND(LEFT(A57,1)="L",LEN(A57)=4,ISNUMBER(VALUE(RIGHT(A57,3)))),"OK","CHECK ID"),"CHECK ID")))</x:f>
        <x:v>OK</x:v>
      </x:c>
    </x:row>
    <x:row r="58" ht="48" customHeight="1">
      <x:c r="A58" s="62" t="str">
        <x:v>L082</x:v>
      </x:c>
      <x:c r="B58" s="62" t="str">
        <x:v>Thomy Phan; Taoan Huang; Bistra Dilkina; Sven Koenig (2024). Adaptive Anytime Multi-Agent Path Finding Using Bandit-Based Large Neighborhood Search. Proceedings of the AAAI Conference on Artificial Intelligence. DOI: 10.1609/aaai.v38i16.29701</x:v>
      </x:c>
      <x:c r="C58" s="62" t="str">
        <x:v>https://doi.org/10.1609/aaai.v38i16.29701</x:v>
      </x:c>
      <x:c r="D58" s="62" t="str">
        <x:v>Metadata + abstract retrieved</x:v>
      </x:c>
      <x:c r="E58" s="62" t="str">
        <x:v>Provisional include — title/abstract screen</x:v>
      </x:c>
      <x:c r="F58" s="62" t="str">
        <x:v>Title/abstract screened; full-text pending</x:v>
      </x:c>
      <x:c r="G58" s="62" t="str">
        <x:v>cross-domain optimization</x:v>
      </x:c>
      <x:c r="H58" s="62" t="str">
        <x:v>transferable search-control mechanism</x:v>
      </x:c>
      <x:c r="I58" s="62" t="str">
        <x:v>new concentrated-search record; queries=S6; databases=OpenAlex-S6-trace</x:v>
      </x:c>
      <x:c r="J58" s="62" t="str">
        <x:f>IF(COUNTA(B58:I58)=0,"",IF(A58="","MISSING ID",IFERROR(IF(AND(LEFT(A58,1)="L",LEN(A58)=4,ISNUMBER(VALUE(RIGHT(A58,3)))),"OK","CHECK ID"),"CHECK ID")))</x:f>
        <x:v>OK</x:v>
      </x:c>
    </x:row>
    <x:row r="59" ht="48" customHeight="1">
      <x:c r="A59" s="63" t="str">
        <x:v>L083</x:v>
      </x:c>
      <x:c r="B59" s="63" t="str">
        <x:v>Maryam Karimi Mamaghan Mehrdad Mohammadi Wout Dullaert Daniele Vigo Amir Pirayesh (2024). Dynamic operator management in meta-heuristics using reinforcement learning: an application to permutation flowshop scheduling problems. arXiv</x:v>
      </x:c>
      <x:c r="C59" s="63" t="str">
        <x:v>https://arxiv.org/abs/2408.14864</x:v>
      </x:c>
      <x:c r="D59" s="63" t="str">
        <x:v>Metadata + abstract retrieved</x:v>
      </x:c>
      <x:c r="E59" s="63" t="str">
        <x:v>Provisional include — title/abstract screen</x:v>
      </x:c>
      <x:c r="F59" s="63" t="str">
        <x:v>Title/abstract screened; full-text pending</x:v>
      </x:c>
      <x:c r="G59" s="63" t="str">
        <x:v>workshop</x:v>
      </x:c>
      <x:c r="H59" s="63" t="str">
        <x:v>shop scheduling mechanism</x:v>
      </x:c>
      <x:c r="I59" s="63" t="str">
        <x:v>new concentrated-search record; queries=S3,S5; databases=arXiv</x:v>
      </x:c>
      <x:c r="J59" s="63" t="str">
        <x:f>IF(COUNTA(B59:I59)=0,"",IF(A59="","MISSING ID",IFERROR(IF(AND(LEFT(A59,1)="L",LEN(A59)=4,ISNUMBER(VALUE(RIGHT(A59,3)))),"OK","CHECK ID"),"CHECK ID")))</x:f>
        <x:v>OK</x:v>
      </x:c>
    </x:row>
    <x:row r="60" ht="48" customHeight="1">
      <x:c r="A60" s="62" t="str">
        <x:v>L084</x:v>
      </x:c>
      <x:c r="B60" s="62" t="str">
        <x:v>Kennedy A. G. Araújo Ernesto G. Birgin Débora P. Ronconi (2024). Local search and trajectory metaheuristics for the flexible job shop scheduling problem with sequencing flexibility and position-based learning effect. arXiv</x:v>
      </x:c>
      <x:c r="C60" s="62" t="str">
        <x:v>https://arxiv.org/abs/2403.16787</x:v>
      </x:c>
      <x:c r="D60" s="62" t="str">
        <x:v>Metadata + abstract retrieved</x:v>
      </x:c>
      <x:c r="E60" s="62" t="str">
        <x:v>Provisional include — title/abstract screen</x:v>
      </x:c>
      <x:c r="F60" s="62" t="str">
        <x:v>Title/abstract screened; full-text pending</x:v>
      </x:c>
      <x:c r="G60" s="62" t="str">
        <x:v>workshop</x:v>
      </x:c>
      <x:c r="H60" s="62" t="str">
        <x:v>shop scheduling mechanism</x:v>
      </x:c>
      <x:c r="I60" s="62" t="str">
        <x:v>new concentrated-search record; queries=S2,S4; databases=arXiv</x:v>
      </x:c>
      <x:c r="J60" s="62" t="str">
        <x:f>IF(COUNTA(B60:I60)=0,"",IF(A60="","MISSING ID",IFERROR(IF(AND(LEFT(A60,1)="L",LEN(A60)=4,ISNUMBER(VALUE(RIGHT(A60,3)))),"OK","CHECK ID"),"CHECK ID")))</x:f>
        <x:v>OK</x:v>
      </x:c>
    </x:row>
    <x:row r="61" ht="48" customHeight="1">
      <x:c r="A61" s="63" t="str">
        <x:v>L085</x:v>
      </x:c>
      <x:c r="B61" s="63" t="str">
        <x:v>Wenbo Liu Akang Wang Wenguo Yang Qingjiang Shi (2024). Mixed-Integer Linear Optimization via Learning-Based Two-Layer Large Neighborhood Search. arXiv</x:v>
      </x:c>
      <x:c r="C61" s="63" t="str">
        <x:v>https://arxiv.org/abs/2412.08206</x:v>
      </x:c>
      <x:c r="D61" s="63" t="str">
        <x:v>Metadata + abstract retrieved</x:v>
      </x:c>
      <x:c r="E61" s="63" t="str">
        <x:v>Provisional include — title/abstract screen</x:v>
      </x:c>
      <x:c r="F61" s="63" t="str">
        <x:v>Title/abstract screened; full-text pending</x:v>
      </x:c>
      <x:c r="G61" s="63" t="str">
        <x:v>cross-domain optimization</x:v>
      </x:c>
      <x:c r="H61" s="63" t="str">
        <x:v>transferable search-control mechanism</x:v>
      </x:c>
      <x:c r="I61" s="63" t="str">
        <x:v>new concentrated-search record; queries=S2; databases=arXiv</x:v>
      </x:c>
      <x:c r="J61" s="63" t="str">
        <x:f>IF(COUNTA(B61:I61)=0,"",IF(A61="","MISSING ID",IFERROR(IF(AND(LEFT(A61,1)="L",LEN(A61)=4,ISNUMBER(VALUE(RIGHT(A61,3)))),"OK","CHECK ID"),"CHECK ID")))</x:f>
        <x:v>OK</x:v>
      </x:c>
    </x:row>
    <x:row r="62" ht="48" customHeight="1">
      <x:c r="A62" s="62" t="str">
        <x:v>L086</x:v>
      </x:c>
      <x:c r="B62" s="62" t="str">
        <x:v>Jakob Vigerust Kallestad; Ramin Hasibi; Ahmad Hemmati; Kenneth Sörensen (2023). A general deep reinforcement learning hyperheuristic framework for solving combinatorial optimization problems. European Journal of Operational Research. DOI: 10.1016/j.ejor.2023.01.017</x:v>
      </x:c>
      <x:c r="C62" s="62" t="str">
        <x:v>https://doi.org/10.1016/j.ejor.2023.01.017</x:v>
      </x:c>
      <x:c r="D62" s="62" t="str">
        <x:v>Metadata + abstract retrieved</x:v>
      </x:c>
      <x:c r="E62" s="62" t="str">
        <x:v>Provisional include — title/abstract screen</x:v>
      </x:c>
      <x:c r="F62" s="62" t="str">
        <x:v>Title/abstract screened; full-text pending</x:v>
      </x:c>
      <x:c r="G62" s="62" t="str">
        <x:v>cross-domain optimization</x:v>
      </x:c>
      <x:c r="H62" s="62" t="str">
        <x:v>transferable search-control mechanism</x:v>
      </x:c>
      <x:c r="I62" s="62" t="str">
        <x:v>new concentrated-search record; queries=S3,S6; databases=OpenAlex,OpenAlex-S6-trace</x:v>
      </x:c>
      <x:c r="J62" s="62" t="str">
        <x:f>IF(COUNTA(B62:I62)=0,"",IF(A62="","MISSING ID",IFERROR(IF(AND(LEFT(A62,1)="L",LEN(A62)=4,ISNUMBER(VALUE(RIGHT(A62,3)))),"OK","CHECK ID"),"CHECK ID")))</x:f>
        <x:v>OK</x:v>
      </x:c>
    </x:row>
    <x:row r="63" ht="48" customHeight="1">
      <x:c r="A63" s="63" t="str">
        <x:v>L087</x:v>
      </x:c>
      <x:c r="B63" s="63" t="str">
        <x:v>Zi-Qi Zhang; Fang-Chun Wu; Bin Qian; Rong Hu; Ling Wang; Huaiping Jin (2023). A Q-learning-based hyper-heuristic evolutionary algorithm for the distributed flexible job-shop scheduling problem with crane transportation. Expert Systems with Applications. DOI: 10.1016/j.eswa.2023.121050</x:v>
      </x:c>
      <x:c r="C63" s="63" t="str">
        <x:v>https://doi.org/10.1016/j.eswa.2023.121050</x:v>
      </x:c>
      <x:c r="D63" s="63" t="str">
        <x:v>Metadata retrieved; abstract unavailable</x:v>
      </x:c>
      <x:c r="E63" s="63" t="str">
        <x:v>Provisional include — title/abstract screen</x:v>
      </x:c>
      <x:c r="F63" s="63" t="str">
        <x:v>Title/abstract screened; full-text pending</x:v>
      </x:c>
      <x:c r="G63" s="63" t="str">
        <x:v>cross-domain optimization</x:v>
      </x:c>
      <x:c r="H63" s="63" t="str">
        <x:v>transferable search-control mechanism</x:v>
      </x:c>
      <x:c r="I63" s="63" t="str">
        <x:v>new concentrated-search record; queries=S5; databases=OpenAlex</x:v>
      </x:c>
      <x:c r="J63" s="63" t="str">
        <x:f>IF(COUNTA(B63:I63)=0,"",IF(A63="","MISSING ID",IFERROR(IF(AND(LEFT(A63,1)="L",LEN(A63)=4,ISNUMBER(VALUE(RIGHT(A63,3)))),"OK","CHECK ID"),"CHECK ID")))</x:f>
        <x:v>OK</x:v>
      </x:c>
    </x:row>
    <x:row r="64" ht="48" customHeight="1">
      <x:c r="A64" s="62" t="str">
        <x:v>L088</x:v>
      </x:c>
      <x:c r="B64" s="62" t="str">
        <x:v>Rui Li; Wenyin Gong; Ling Wang; Chao Lu; Zixiao Pan; Xinying Zhuang (2023). Double DQN-Based Coevolution for Green Distributed Heterogeneous Hybrid Flowshop Scheduling With Multiple Priorities of Jobs. IEEE Transactions on Automation Science and Engineering. DOI: 10.1109/tase.2023.3327792</x:v>
      </x:c>
      <x:c r="C64" s="62" t="str">
        <x:v>https://doi.org/10.1109/tase.2023.3327792</x:v>
      </x:c>
      <x:c r="D64" s="62" t="str">
        <x:v>Metadata + abstract retrieved</x:v>
      </x:c>
      <x:c r="E64" s="62" t="str">
        <x:v>Provisional include — title/abstract screen</x:v>
      </x:c>
      <x:c r="F64" s="62" t="str">
        <x:v>Title/abstract screened; full-text pending</x:v>
      </x:c>
      <x:c r="G64" s="62" t="str">
        <x:v>workshop</x:v>
      </x:c>
      <x:c r="H64" s="62" t="str">
        <x:v>shop scheduling mechanism</x:v>
      </x:c>
      <x:c r="I64" s="62" t="str">
        <x:v>new concentrated-search record; queries=S3,S5; databases=OpenAlex</x:v>
      </x:c>
      <x:c r="J64" s="62" t="str">
        <x:f>IF(COUNTA(B64:I64)=0,"",IF(A64="","MISSING ID",IFERROR(IF(AND(LEFT(A64,1)="L",LEN(A64)=4,ISNUMBER(VALUE(RIGHT(A64,3)))),"OK","CHECK ID"),"CHECK ID")))</x:f>
        <x:v>OK</x:v>
      </x:c>
    </x:row>
    <x:row r="65" ht="48" customHeight="1">
      <x:c r="A65" s="63" t="str">
        <x:v>L089</x:v>
      </x:c>
      <x:c r="B65" s="63" t="str">
        <x:v>Hongliang Zhang; Chaoqun Qin; Wenhui Zhang; Zhenxing Xu; Gongjie Xu; Zhenhua Gao (2023). Energy-Saving Scheduling for Flexible Job Shop Problem with AGV Transportation Considering Emergencies. Systems. DOI: 10.3390/systems11020103</x:v>
      </x:c>
      <x:c r="C65" s="63" t="str">
        <x:v>https://doi.org/10.3390/systems11020103</x:v>
      </x:c>
      <x:c r="D65" s="63" t="str">
        <x:v>Metadata + abstract retrieved</x:v>
      </x:c>
      <x:c r="E65" s="63" t="str">
        <x:v>Provisional include — title/abstract screen</x:v>
      </x:c>
      <x:c r="F65" s="63" t="str">
        <x:v>Title/abstract screened; full-text pending</x:v>
      </x:c>
      <x:c r="G65" s="63" t="str">
        <x:v>workshop</x:v>
      </x:c>
      <x:c r="H65" s="63" t="str">
        <x:v>machine–AGV joint scheduling</x:v>
      </x:c>
      <x:c r="I65" s="63" t="str">
        <x:v>new concentrated-search record; queries=S1; databases=OpenAlex</x:v>
      </x:c>
      <x:c r="J65" s="63" t="str">
        <x:f>IF(COUNTA(B65:I65)=0,"",IF(A65="","MISSING ID",IFERROR(IF(AND(LEFT(A65,1)="L",LEN(A65)=4,ISNUMBER(VALUE(RIGHT(A65,3)))),"OK","CHECK ID"),"CHECK ID")))</x:f>
        <x:v>OK</x:v>
      </x:c>
    </x:row>
    <x:row r="66" ht="48" customHeight="1">
      <x:c r="A66" s="62" t="str">
        <x:v>L090</x:v>
      </x:c>
      <x:c r="B66" s="62" t="str">
        <x:v>Kuan Xu Li Shen Lindong Liu (2023). Enhancing Column Generation by Reinforcement Learning-Based Hyper-Heuristic for Vehicle Routing and Scheduling Problems. arXiv</x:v>
      </x:c>
      <x:c r="C66" s="62" t="str">
        <x:v>https://arxiv.org/abs/2310.09686</x:v>
      </x:c>
      <x:c r="D66" s="62" t="str">
        <x:v>Metadata + abstract retrieved</x:v>
      </x:c>
      <x:c r="E66" s="62" t="str">
        <x:v>Provisional include — title/abstract screen</x:v>
      </x:c>
      <x:c r="F66" s="62" t="str">
        <x:v>Title/abstract screened; full-text pending</x:v>
      </x:c>
      <x:c r="G66" s="62" t="str">
        <x:v>routing/transport</x:v>
      </x:c>
      <x:c r="H66" s="62" t="str">
        <x:v>transferable search-control mechanism</x:v>
      </x:c>
      <x:c r="I66" s="62" t="str">
        <x:v>new concentrated-search record; queries=S5; databases=arXiv</x:v>
      </x:c>
      <x:c r="J66" s="62" t="str">
        <x:f>IF(COUNTA(B66:I66)=0,"",IF(A66="","MISSING ID",IFERROR(IF(AND(LEFT(A66,1)="L",LEN(A66)=4,ISNUMBER(VALUE(RIGHT(A66,3)))),"OK","CHECK ID"),"CHECK ID")))</x:f>
        <x:v>OK</x:v>
      </x:c>
    </x:row>
    <x:row r="67" ht="48" customHeight="1">
      <x:c r="A67" s="63" t="str">
        <x:v>L091</x:v>
      </x:c>
      <x:c r="B67" s="63" t="str">
        <x:v>Felipe Lagos; Jordi Pereira (2023). Multi-armed bandit-based hyper-heuristics for combinatorial optimization problems. European Journal of Operational Research. DOI: 10.1016/j.ejor.2023.06.016</x:v>
      </x:c>
      <x:c r="C67" s="63" t="str">
        <x:v>https://doi.org/10.1016/j.ejor.2023.06.016</x:v>
      </x:c>
      <x:c r="D67" s="63" t="str">
        <x:v>Metadata retrieved; abstract unavailable</x:v>
      </x:c>
      <x:c r="E67" s="63" t="str">
        <x:v>Provisional include — title/abstract screen</x:v>
      </x:c>
      <x:c r="F67" s="63" t="str">
        <x:v>Title/abstract screened; full-text pending</x:v>
      </x:c>
      <x:c r="G67" s="63" t="str">
        <x:v>cross-domain optimization</x:v>
      </x:c>
      <x:c r="H67" s="63" t="str">
        <x:v>transferable search-control mechanism</x:v>
      </x:c>
      <x:c r="I67" s="63" t="str">
        <x:v>new concentrated-search record; queries=S6; databases=OpenAlex-S6-trace</x:v>
      </x:c>
      <x:c r="J67" s="63" t="str">
        <x:f>IF(COUNTA(B67:I67)=0,"",IF(A67="","MISSING ID",IFERROR(IF(AND(LEFT(A67,1)="L",LEN(A67)=4,ISNUMBER(VALUE(RIGHT(A67,3)))),"OK","CHECK ID"),"CHECK ID")))</x:f>
        <x:v>OK</x:v>
      </x:c>
    </x:row>
    <x:row r="68" ht="48" customHeight="1">
      <x:c r="A68" s="62" t="str">
        <x:v>L092</x:v>
      </x:c>
      <x:c r="B68" s="62" t="str">
        <x:v>Orachun Udomkasemsub; Booncharoen Sirinaovakul; Tiranee Achalakul (2023). PHH: Policy-Based Hyper-Heuristic With Reinforcement Learning. IEEE Access. DOI: 10.1109/access.2023.3277953</x:v>
      </x:c>
      <x:c r="C68" s="62" t="str">
        <x:v>https://doi.org/10.1109/access.2023.3277953</x:v>
      </x:c>
      <x:c r="D68" s="62" t="str">
        <x:v>Metadata + abstract retrieved</x:v>
      </x:c>
      <x:c r="E68" s="62" t="str">
        <x:v>Provisional include — title/abstract screen</x:v>
      </x:c>
      <x:c r="F68" s="62" t="str">
        <x:v>Title/abstract screened; full-text pending</x:v>
      </x:c>
      <x:c r="G68" s="62" t="str">
        <x:v>routing/transport</x:v>
      </x:c>
      <x:c r="H68" s="62" t="str">
        <x:v>transferable search-control mechanism</x:v>
      </x:c>
      <x:c r="I68" s="62" t="str">
        <x:v>new concentrated-search record; queries=S3; databases=OpenAlex</x:v>
      </x:c>
      <x:c r="J68" s="62" t="str">
        <x:f>IF(COUNTA(B68:I68)=0,"",IF(A68="","MISSING ID",IFERROR(IF(AND(LEFT(A68,1)="L",LEN(A68)=4,ISNUMBER(VALUE(RIGHT(A68,3)))),"OK","CHECK ID"),"CHECK ID")))</x:f>
        <x:v>OK</x:v>
      </x:c>
    </x:row>
    <x:row r="69" ht="48" customHeight="1">
      <x:c r="A69" s="63" t="str">
        <x:v>L093</x:v>
      </x:c>
      <x:c r="B69" s="63" t="str">
        <x:v>Zi-Qi Zhang; Bin Qian; Rong Hu; Jianbo Yang (2023). Q-learning-based hyper-heuristic evolutionary algorithm for the distributed assembly blocking flowshop scheduling problem. Applied Soft Computing. DOI: 10.1016/j.asoc.2023.110695</x:v>
      </x:c>
      <x:c r="C69" s="63" t="str">
        <x:v>https://doi.org/10.1016/j.asoc.2023.110695</x:v>
      </x:c>
      <x:c r="D69" s="63" t="str">
        <x:v>Metadata retrieved; abstract unavailable</x:v>
      </x:c>
      <x:c r="E69" s="63" t="str">
        <x:v>Provisional include — title/abstract screen</x:v>
      </x:c>
      <x:c r="F69" s="63" t="str">
        <x:v>Title/abstract screened; full-text pending</x:v>
      </x:c>
      <x:c r="G69" s="63" t="str">
        <x:v>workshop</x:v>
      </x:c>
      <x:c r="H69" s="63" t="str">
        <x:v>shop scheduling mechanism</x:v>
      </x:c>
      <x:c r="I69" s="63" t="str">
        <x:v>new concentrated-search record; queries=S5; databases=OpenAlex</x:v>
      </x:c>
      <x:c r="J69" s="63" t="str">
        <x:f>IF(COUNTA(B69:I69)=0,"",IF(A69="","MISSING ID",IFERROR(IF(AND(LEFT(A69,1)="L",LEN(A69)=4,ISNUMBER(VALUE(RIGHT(A69,3)))),"OK","CHECK ID"),"CHECK ID")))</x:f>
        <x:v>OK</x:v>
      </x:c>
    </x:row>
    <x:row r="70" ht="48" customHeight="1">
      <x:c r="A70" s="62" t="str">
        <x:v>L094</x:v>
      </x:c>
      <x:c r="B70" s="62" t="str">
        <x:v>Jin Xie; Xinyu Li; Liang Gao; Lin Gui (2022). A new neighbourhood structure for job shop scheduling problems. International Journal of Production Research. DOI: 10.1080/00207543.2022.2060772</x:v>
      </x:c>
      <x:c r="C70" s="62" t="str">
        <x:v>https://doi.org/10.1080/00207543.2022.2060772</x:v>
      </x:c>
      <x:c r="D70" s="62" t="str">
        <x:v>Metadata + abstract retrieved</x:v>
      </x:c>
      <x:c r="E70" s="62" t="str">
        <x:v>Provisional include — title/abstract screen</x:v>
      </x:c>
      <x:c r="F70" s="62" t="str">
        <x:v>Title/abstract screened; full-text pending</x:v>
      </x:c>
      <x:c r="G70" s="62" t="str">
        <x:v>workshop</x:v>
      </x:c>
      <x:c r="H70" s="62" t="str">
        <x:v>shop scheduling mechanism</x:v>
      </x:c>
      <x:c r="I70" s="62" t="str">
        <x:v>new concentrated-search record; queries=S2; databases=OpenAlex</x:v>
      </x:c>
      <x:c r="J70" s="62" t="str">
        <x:f>IF(COUNTA(B70:I70)=0,"",IF(A70="","MISSING ID",IFERROR(IF(AND(LEFT(A70,1)="L",LEN(A70)=4,ISNUMBER(VALUE(RIGHT(A70,3)))),"OK","CHECK ID"),"CHECK ID")))</x:f>
        <x:v>OK</x:v>
      </x:c>
    </x:row>
    <x:row r="71" ht="48" customHeight="1">
      <x:c r="A71" s="63" t="str">
        <x:v>L095</x:v>
      </x:c>
      <x:c r="B71" s="63" t="str">
        <x:v>Shahed Mahmud; Alireza Abbasi; Ripon K. Chakrabortty; Michael J. Ryan (2022). A self-adaptive hyper-heuristic based multi-objective optimisation approach for integrated supply chain scheduling problems. Knowledge-Based Systems. DOI: 10.1016/j.knosys.2022.109190</x:v>
      </x:c>
      <x:c r="C71" s="63" t="str">
        <x:v>https://doi.org/10.1016/j.knosys.2022.109190</x:v>
      </x:c>
      <x:c r="D71" s="63" t="str">
        <x:v>Metadata retrieved; abstract unavailable</x:v>
      </x:c>
      <x:c r="E71" s="63" t="str">
        <x:v>Provisional include — title/abstract screen</x:v>
      </x:c>
      <x:c r="F71" s="63" t="str">
        <x:v>Title/abstract screened; full-text pending</x:v>
      </x:c>
      <x:c r="G71" s="63" t="str">
        <x:v>cross-domain optimization</x:v>
      </x:c>
      <x:c r="H71" s="63" t="str">
        <x:v>transferable search-control mechanism</x:v>
      </x:c>
      <x:c r="I71" s="63" t="str">
        <x:v>new concentrated-search record; queries=S5; databases=OpenAlex</x:v>
      </x:c>
      <x:c r="J71" s="63" t="str">
        <x:f>IF(COUNTA(B71:I71)=0,"",IF(A71="","MISSING ID",IFERROR(IF(AND(LEFT(A71,1)="L",LEN(A71)=4,ISNUMBER(VALUE(RIGHT(A71,3)))),"OK","CHECK ID"),"CHECK ID")))</x:f>
        <x:v>OK</x:v>
      </x:c>
    </x:row>
    <x:row r="72" ht="48" customHeight="1">
      <x:c r="A72" s="62" t="str">
        <x:v>L096</x:v>
      </x:c>
      <x:c r="B72" s="62" t="str">
        <x:v>Yassine Yaakoubi Roussos Dimitrakopoulos (2022). Learning to Schedule Heuristics for the Simultaneous Stochastic Optimization of Mining Complexes. arXiv</x:v>
      </x:c>
      <x:c r="C72" s="62" t="str">
        <x:v>https://arxiv.org/abs/2202.12866</x:v>
      </x:c>
      <x:c r="D72" s="62" t="str">
        <x:v>Metadata + abstract retrieved</x:v>
      </x:c>
      <x:c r="E72" s="62" t="str">
        <x:v>Provisional include — title/abstract screen</x:v>
      </x:c>
      <x:c r="F72" s="62" t="str">
        <x:v>Title/abstract screened; full-text pending</x:v>
      </x:c>
      <x:c r="G72" s="62" t="str">
        <x:v>cross-domain optimization</x:v>
      </x:c>
      <x:c r="H72" s="62" t="str">
        <x:v>transferable search-control mechanism</x:v>
      </x:c>
      <x:c r="I72" s="62" t="str">
        <x:v>new concentrated-search record; queries=S5; databases=arXiv</x:v>
      </x:c>
      <x:c r="J72" s="62" t="str">
        <x:f>IF(COUNTA(B72:I72)=0,"",IF(A72="","MISSING ID",IFERROR(IF(AND(LEFT(A72,1)="L",LEN(A72)=4,ISNUMBER(VALUE(RIGHT(A72,3)))),"OK","CHECK ID"),"CHECK ID")))</x:f>
        <x:v>OK</x:v>
      </x:c>
    </x:row>
    <x:row r="73" ht="48" customHeight="1">
      <x:c r="A73" s="63" t="str">
        <x:v>L097</x:v>
      </x:c>
      <x:c r="B73" s="63" t="str">
        <x:v>ChengRan Lin; Zhengcai Cao; MengChu Zhou (2022). Learning-Based Grey Wolf Optimizer for Stochastic Flexible Job Shop Scheduling. IEEE Transactions on Automation Science and Engineering. DOI: 10.1109/tase.2021.3129439</x:v>
      </x:c>
      <x:c r="C73" s="63" t="str">
        <x:v>https://doi.org/10.1109/tase.2021.3129439</x:v>
      </x:c>
      <x:c r="D73" s="63" t="str">
        <x:v>Metadata + abstract retrieved</x:v>
      </x:c>
      <x:c r="E73" s="63" t="str">
        <x:v>Provisional include — title/abstract screen</x:v>
      </x:c>
      <x:c r="F73" s="63" t="str">
        <x:v>Title/abstract screened; full-text pending</x:v>
      </x:c>
      <x:c r="G73" s="63" t="str">
        <x:v>workshop</x:v>
      </x:c>
      <x:c r="H73" s="63" t="str">
        <x:v>shop scheduling mechanism</x:v>
      </x:c>
      <x:c r="I73" s="63" t="str">
        <x:v>new concentrated-search record; queries=S4; databases=OpenAlex</x:v>
      </x:c>
      <x:c r="J73" s="63" t="str">
        <x:f>IF(COUNTA(B73:I73)=0,"",IF(A73="","MISSING ID",IFERROR(IF(AND(LEFT(A73,1)="L",LEN(A73)=4,ISNUMBER(VALUE(RIGHT(A73,3)))),"OK","CHECK ID"),"CHECK ID")))</x:f>
        <x:v>OK</x:v>
      </x:c>
    </x:row>
    <x:row r="74" ht="48" customHeight="1">
      <x:c r="A74" s="62" t="str">
        <x:v>L098</x:v>
      </x:c>
      <x:c r="B74" s="62" t="str">
        <x:v>Jin Xie Xinyu Li Liang Gao Lin Gui (2021). A new neighborhood structure for job shop scheduling problems. arXiv</x:v>
      </x:c>
      <x:c r="C74" s="62" t="str">
        <x:v>https://arxiv.org/abs/2109.02843</x:v>
      </x:c>
      <x:c r="D74" s="62" t="str">
        <x:v>Metadata + abstract retrieved</x:v>
      </x:c>
      <x:c r="E74" s="62" t="str">
        <x:v>Provisional include — title/abstract screen</x:v>
      </x:c>
      <x:c r="F74" s="62" t="str">
        <x:v>Title/abstract screened; full-text pending</x:v>
      </x:c>
      <x:c r="G74" s="62" t="str">
        <x:v>workshop</x:v>
      </x:c>
      <x:c r="H74" s="62" t="str">
        <x:v>shop scheduling mechanism</x:v>
      </x:c>
      <x:c r="I74" s="62" t="str">
        <x:v>new concentrated-search record; queries=S2; databases=arXiv</x:v>
      </x:c>
      <x:c r="J74" s="62" t="str">
        <x:f>IF(COUNTA(B74:I74)=0,"",IF(A74="","MISSING ID",IFERROR(IF(AND(LEFT(A74,1)="L",LEN(A74)=4,ISNUMBER(VALUE(RIGHT(A74,3)))),"OK","CHECK ID"),"CHECK ID")))</x:f>
        <x:v>OK</x:v>
      </x:c>
    </x:row>
    <x:row r="75" ht="48" customHeight="1">
      <x:c r="A75" s="63" t="str">
        <x:v>L099</x:v>
      </x:c>
      <x:c r="B75" s="63" t="str">
        <x:v>Fuqing Zhao; Shilu Di; Jie Cao; Jianxin Tang; Jonrinaldi Jonrinaldi (2021). A Novel Cooperative Multi-Stage Hyper-Heuristic for Combination Optimization Problems. Complex System Modeling and Simulation. DOI: 10.23919/csms.2021.0010</x:v>
      </x:c>
      <x:c r="C75" s="63" t="str">
        <x:v>https://doi.org/10.23919/csms.2021.0010</x:v>
      </x:c>
      <x:c r="D75" s="63" t="str">
        <x:v>Metadata + abstract retrieved</x:v>
      </x:c>
      <x:c r="E75" s="63" t="str">
        <x:v>Provisional include — title/abstract screen</x:v>
      </x:c>
      <x:c r="F75" s="63" t="str">
        <x:v>Title/abstract screened; full-text pending</x:v>
      </x:c>
      <x:c r="G75" s="63" t="str">
        <x:v>routing/transport</x:v>
      </x:c>
      <x:c r="H75" s="63" t="str">
        <x:v>transferable search-control mechanism</x:v>
      </x:c>
      <x:c r="I75" s="63" t="str">
        <x:v>new concentrated-search record; queries=S3,S5; databases=OpenAlex</x:v>
      </x:c>
      <x:c r="J75" s="63" t="str">
        <x:f>IF(COUNTA(B75:I75)=0,"",IF(A75="","MISSING ID",IFERROR(IF(AND(LEFT(A75,1)="L",LEN(A75)=4,ISNUMBER(VALUE(RIGHT(A75,3)))),"OK","CHECK ID"),"CHECK ID")))</x:f>
        <x:v>OK</x:v>
      </x:c>
    </x:row>
    <x:row r="76" ht="48" customHeight="1">
      <x:c r="A76" s="62" t="str">
        <x:v>L100</x:v>
      </x:c>
      <x:c r="B76" s="62" t="str">
        <x:v>Gregor Hendel (2021). Adaptive large neighborhood search for mixed integer programming. Mathematical Programming Computation. DOI: 10.1007/s12532-021-00209-7</x:v>
      </x:c>
      <x:c r="C76" s="62" t="str">
        <x:v>https://doi.org/10.1007/s12532-021-00209-7</x:v>
      </x:c>
      <x:c r="D76" s="62" t="str">
        <x:v>Metadata + abstract retrieved</x:v>
      </x:c>
      <x:c r="E76" s="62" t="str">
        <x:v>Provisional include — title/abstract screen</x:v>
      </x:c>
      <x:c r="F76" s="62" t="str">
        <x:v>Title/abstract screened; full-text pending</x:v>
      </x:c>
      <x:c r="G76" s="62" t="str">
        <x:v>cross-domain optimization</x:v>
      </x:c>
      <x:c r="H76" s="62" t="str">
        <x:v>transferable search-control mechanism</x:v>
      </x:c>
      <x:c r="I76" s="62" t="str">
        <x:v>new concentrated-search record; queries=S4; databases=OpenAlex</x:v>
      </x:c>
      <x:c r="J76" s="62" t="str">
        <x:f>IF(COUNTA(B76:I76)=0,"",IF(A76="","MISSING ID",IFERROR(IF(AND(LEFT(A76,1)="L",LEN(A76)=4,ISNUMBER(VALUE(RIGHT(A76,3)))),"OK","CHECK ID"),"CHECK ID")))</x:f>
        <x:v>OK</x:v>
      </x:c>
    </x:row>
    <x:row r="77" ht="48" customHeight="1">
      <x:c r="A77" s="63" t="str">
        <x:v>L101</x:v>
      </x:c>
      <x:c r="B77" s="63" t="str">
        <x:v>Lixin Cheng; Qiuhua Tang; Liping Zhang; Zikai Zhang (2021). Multi-objective Q-learning-based hyper-heuristic with Bi-criteria selection for energy-aware mixed shop scheduling. Swarm and Evolutionary Computation. DOI: 10.1016/j.swevo.2021.100985</x:v>
      </x:c>
      <x:c r="C77" s="63" t="str">
        <x:v>https://doi.org/10.1016/j.swevo.2021.100985</x:v>
      </x:c>
      <x:c r="D77" s="63" t="str">
        <x:v>Metadata retrieved; abstract unavailable</x:v>
      </x:c>
      <x:c r="E77" s="63" t="str">
        <x:v>Provisional include — title/abstract screen</x:v>
      </x:c>
      <x:c r="F77" s="63" t="str">
        <x:v>Title/abstract screened; full-text pending</x:v>
      </x:c>
      <x:c r="G77" s="63" t="str">
        <x:v>cross-domain optimization</x:v>
      </x:c>
      <x:c r="H77" s="63" t="str">
        <x:v>transferable search-control mechanism</x:v>
      </x:c>
      <x:c r="I77" s="63" t="str">
        <x:v>new concentrated-search record; queries=S5,S6; databases=OpenAlex,OpenAlex-S6-trace</x:v>
      </x:c>
      <x:c r="J77" s="63" t="str">
        <x:f>IF(COUNTA(B77:I77)=0,"",IF(A77="","MISSING ID",IFERROR(IF(AND(LEFT(A77,1)="L",LEN(A77)=4,ISNUMBER(VALUE(RIGHT(A77,3)))),"OK","CHECK ID"),"CHECK ID")))</x:f>
        <x:v>OK</x:v>
      </x:c>
    </x:row>
    <x:row r="78" ht="48" customHeight="1">
      <x:c r="A78" s="62" t="str">
        <x:v>L102</x:v>
      </x:c>
      <x:c r="B78" s="62" t="str">
        <x:v>Defeng Liu Matteo Fischetti Andrea Lodi (2021). Revisiting local branching with a machine learning lens. arXiv</x:v>
      </x:c>
      <x:c r="C78" s="62" t="str">
        <x:v>https://arxiv.org/abs/2112.02195</x:v>
      </x:c>
      <x:c r="D78" s="62" t="str">
        <x:v>Metadata + abstract retrieved</x:v>
      </x:c>
      <x:c r="E78" s="62" t="str">
        <x:v>Provisional include — title/abstract screen</x:v>
      </x:c>
      <x:c r="F78" s="62" t="str">
        <x:v>Title/abstract screened; full-text pending</x:v>
      </x:c>
      <x:c r="G78" s="62" t="str">
        <x:v>cross-domain optimization</x:v>
      </x:c>
      <x:c r="H78" s="62" t="str">
        <x:v>transferable search-control mechanism</x:v>
      </x:c>
      <x:c r="I78" s="62" t="str">
        <x:v>new concentrated-search record; queries=S4; databases=arXiv</x:v>
      </x:c>
      <x:c r="J78" s="62" t="str">
        <x:f>IF(COUNTA(B78:I78)=0,"",IF(A78="","MISSING ID",IFERROR(IF(AND(LEFT(A78,1)="L",LEN(A78)=4,ISNUMBER(VALUE(RIGHT(A78,3)))),"OK","CHECK ID"),"CHECK ID")))</x:f>
        <x:v>OK</x:v>
      </x:c>
    </x:row>
    <x:row r="79" ht="48" customHeight="1">
      <x:c r="A79" s="63" t="str">
        <x:v>L103</x:v>
      </x:c>
      <x:c r="B79" s="63" t="str">
        <x:v>Jian Lin; Yang-Yuan Li; Hongbo Song (2021). Semiconductor final testing scheduling using Q-learning based hyper-heuristic. Expert Systems with Applications. DOI: 10.1016/j.eswa.2021.115978</x:v>
      </x:c>
      <x:c r="C79" s="63" t="str">
        <x:v>https://doi.org/10.1016/j.eswa.2021.115978</x:v>
      </x:c>
      <x:c r="D79" s="63" t="str">
        <x:v>Metadata retrieved; abstract unavailable</x:v>
      </x:c>
      <x:c r="E79" s="63" t="str">
        <x:v>Provisional include — title/abstract screen</x:v>
      </x:c>
      <x:c r="F79" s="63" t="str">
        <x:v>Title/abstract screened; full-text pending</x:v>
      </x:c>
      <x:c r="G79" s="63" t="str">
        <x:v>cross-domain optimization</x:v>
      </x:c>
      <x:c r="H79" s="63" t="str">
        <x:v>transferable search-control mechanism</x:v>
      </x:c>
      <x:c r="I79" s="63" t="str">
        <x:v>new concentrated-search record; queries=S5; databases=OpenAlex</x:v>
      </x:c>
      <x:c r="J79" s="63" t="str">
        <x:f>IF(COUNTA(B79:I79)=0,"",IF(A79="","MISSING ID",IFERROR(IF(AND(LEFT(A79,1)="L",LEN(A79)=4,ISNUMBER(VALUE(RIGHT(A79,3)))),"OK","CHECK ID"),"CHECK ID")))</x:f>
        <x:v>OK</x:v>
      </x:c>
    </x:row>
    <x:row r="80" ht="48" customHeight="1">
      <x:c r="A80" s="62" t="str">
        <x:v>L104</x:v>
      </x:c>
      <x:c r="B80" s="62" t="str">
        <x:v>Yali Wang Bas van Stein Michael T. M. Emmerich Thomas Bäck (2020). A Tailored NSGA-III Instantiation for Flexible Job Shop Scheduling. arXiv</x:v>
      </x:c>
      <x:c r="C80" s="62" t="str">
        <x:v>https://arxiv.org/abs/2004.06564</x:v>
      </x:c>
      <x:c r="D80" s="62" t="str">
        <x:v>Metadata + abstract retrieved</x:v>
      </x:c>
      <x:c r="E80" s="62" t="str">
        <x:v>Provisional include — title/abstract screen</x:v>
      </x:c>
      <x:c r="F80" s="62" t="str">
        <x:v>Title/abstract screened; full-text pending</x:v>
      </x:c>
      <x:c r="G80" s="62" t="str">
        <x:v>workshop</x:v>
      </x:c>
      <x:c r="H80" s="62" t="str">
        <x:v>shop scheduling mechanism</x:v>
      </x:c>
      <x:c r="I80" s="62" t="str">
        <x:v>new concentrated-search record; queries=S4; databases=arXiv</x:v>
      </x:c>
      <x:c r="J80" s="62" t="str">
        <x:f>IF(COUNTA(B80:I80)=0,"",IF(A80="","MISSING ID",IFERROR(IF(AND(LEFT(A80,1)="L",LEN(A80)=4,ISNUMBER(VALUE(RIGHT(A80,3)))),"OK","CHECK ID"),"CHECK ID")))</x:f>
        <x:v>OK</x:v>
      </x:c>
    </x:row>
    <x:row r="81" ht="48" customHeight="1">
      <x:c r="A81" s="63" t="str">
        <x:v>L105</x:v>
      </x:c>
      <x:c r="B81" s="63" t="str">
        <x:v>Benjamin Graf (2020). Adaptive large variable neighborhood search for a multiperiod vehicle and technician routing problem. Networks. DOI: 10.1002/net.21959</x:v>
      </x:c>
      <x:c r="C81" s="63" t="str">
        <x:v>https://doi.org/10.1002/net.21959</x:v>
      </x:c>
      <x:c r="D81" s="63" t="str">
        <x:v>Metadata + abstract retrieved</x:v>
      </x:c>
      <x:c r="E81" s="63" t="str">
        <x:v>Provisional include — title/abstract screen</x:v>
      </x:c>
      <x:c r="F81" s="63" t="str">
        <x:v>Title/abstract screened; full-text pending</x:v>
      </x:c>
      <x:c r="G81" s="63" t="str">
        <x:v>routing/transport</x:v>
      </x:c>
      <x:c r="H81" s="63" t="str">
        <x:v>transferable search-control mechanism</x:v>
      </x:c>
      <x:c r="I81" s="63" t="str">
        <x:v>new concentrated-search record; queries=S6; databases=OpenAlex-S6-trace</x:v>
      </x:c>
      <x:c r="J81" s="63" t="str">
        <x:f>IF(COUNTA(B81:I81)=0,"",IF(A81="","MISSING ID",IFERROR(IF(AND(LEFT(A81,1)="L",LEN(A81)=4,ISNUMBER(VALUE(RIGHT(A81,3)))),"OK","CHECK ID"),"CHECK ID")))</x:f>
        <x:v>OK</x:v>
      </x:c>
    </x:row>
    <x:row r="82" ht="48" customHeight="1">
      <x:c r="A82" s="62" t="str">
        <x:v>L106</x:v>
      </x:c>
      <x:c r="B82" s="62" t="str">
        <x:v>Andrei Lissovoi; Pietro S. Oliveto; John Alasdair Warwicker (2019). Simple Hyper-Heuristics Control the Neighbourhood Size of Randomised Local Search Optimally for LeadingOnes. Evolutionary Computation. DOI: 10.1162/evco_a_00258</x:v>
      </x:c>
      <x:c r="C82" s="62" t="str">
        <x:v>https://doi.org/10.1162/evco_a_00258</x:v>
      </x:c>
      <x:c r="D82" s="62" t="str">
        <x:v>Metadata + abstract retrieved</x:v>
      </x:c>
      <x:c r="E82" s="62" t="str">
        <x:v>Provisional include — title/abstract screen</x:v>
      </x:c>
      <x:c r="F82" s="62" t="str">
        <x:v>Title/abstract screened; full-text pending</x:v>
      </x:c>
      <x:c r="G82" s="62" t="str">
        <x:v>cross-domain optimization</x:v>
      </x:c>
      <x:c r="H82" s="62" t="str">
        <x:v>transferable search-control mechanism</x:v>
      </x:c>
      <x:c r="I82" s="62" t="str">
        <x:v>new concentrated-search record; queries=S4; databases=OpenAlex</x:v>
      </x:c>
      <x:c r="J82" s="62" t="str">
        <x:f>IF(COUNTA(B82:I82)=0,"",IF(A82="","MISSING ID",IFERROR(IF(AND(LEFT(A82,1)="L",LEN(A82)=4,ISNUMBER(VALUE(RIGHT(A82,3)))),"OK","CHECK ID"),"CHECK ID")))</x:f>
        <x:v>OK</x:v>
      </x:c>
    </x:row>
    <x:row r="83" ht="48" customHeight="1">
      <x:c r="A83" s="63" t="str">
        <x:v>L107</x:v>
      </x:c>
      <x:c r="B83" s="63" t="str">
        <x:v>Thomas Weise Zijun Wu Markus Wagner (2018). An Improved Generic Bet-and-Run Strategy for Speeding Up Stochastic Local Search. arXiv</x:v>
      </x:c>
      <x:c r="C83" s="63" t="str">
        <x:v>https://arxiv.org/abs/1806.08984</x:v>
      </x:c>
      <x:c r="D83" s="63" t="str">
        <x:v>Metadata + abstract retrieved</x:v>
      </x:c>
      <x:c r="E83" s="63" t="str">
        <x:v>Provisional include — title/abstract screen</x:v>
      </x:c>
      <x:c r="F83" s="63" t="str">
        <x:v>Title/abstract screened; full-text pending</x:v>
      </x:c>
      <x:c r="G83" s="63" t="str">
        <x:v>cross-domain optimization</x:v>
      </x:c>
      <x:c r="H83" s="63" t="str">
        <x:v>transferable search-control mechanism</x:v>
      </x:c>
      <x:c r="I83" s="63" t="str">
        <x:v>new concentrated-search record; queries=S4; databases=arXiv</x:v>
      </x:c>
      <x:c r="J83" s="63" t="str">
        <x:f>IF(COUNTA(B83:I83)=0,"",IF(A83="","MISSING ID",IFERROR(IF(AND(LEFT(A83,1)="L",LEN(A83)=4,ISNUMBER(VALUE(RIGHT(A83,3)))),"OK","CHECK ID"),"CHECK ID")))</x:f>
        <x:v>OK</x:v>
      </x:c>
    </x:row>
    <x:row r="84" ht="48" customHeight="1">
      <x:c r="A84" s="62" t="str">
        <x:v>L108</x:v>
      </x:c>
      <x:c r="B84" s="62" t="str">
        <x:v>Andrei Lissovoi Pietro S. Oliveto John Alasdair Warwicker (2018). Simple Hyper-heuristics Control the Neighbourhood Size of Randomised Local Search Optimally for LeadingOnes. arXiv</x:v>
      </x:c>
      <x:c r="C84" s="62" t="str">
        <x:v>https://arxiv.org/abs/1801.07546</x:v>
      </x:c>
      <x:c r="D84" s="62" t="str">
        <x:v>Metadata + abstract retrieved</x:v>
      </x:c>
      <x:c r="E84" s="62" t="str">
        <x:v>Provisional include — title/abstract screen</x:v>
      </x:c>
      <x:c r="F84" s="62" t="str">
        <x:v>Title/abstract screened; full-text pending</x:v>
      </x:c>
      <x:c r="G84" s="62" t="str">
        <x:v>cross-domain optimization</x:v>
      </x:c>
      <x:c r="H84" s="62" t="str">
        <x:v>transferable search-control mechanism</x:v>
      </x:c>
      <x:c r="I84" s="62" t="str">
        <x:v>new concentrated-search record; queries=S4; databases=arXiv</x:v>
      </x:c>
      <x:c r="J84" s="62" t="str">
        <x:f>IF(COUNTA(B84:I84)=0,"",IF(A84="","MISSING ID",IFERROR(IF(AND(LEFT(A84,1)="L",LEN(A84)=4,ISNUMBER(VALUE(RIGHT(A84,3)))),"OK","CHECK ID"),"CHECK ID")))</x:f>
        <x:v>OK</x:v>
      </x:c>
    </x:row>
    <x:row r="85" ht="48" customHeight="1">
      <x:c r="A85" s="63" t="str">
        <x:v>L109</x:v>
      </x:c>
      <x:c r="B85" s="63" t="str">
        <x:v>Houssem Eddine Nouri; Olfa Belkahla Driss; Khaled Ghédira (2017). Solving the flexible job shop problem by hybrid metaheuristics-based multiagent model. Journal of industrial engineering international. DOI: 10.1007/s40092-017-0204-z</x:v>
      </x:c>
      <x:c r="C85" s="63" t="str">
        <x:v>https://doi.org/10.1007/s40092-017-0204-z</x:v>
      </x:c>
      <x:c r="D85" s="63" t="str">
        <x:v>Metadata + abstract retrieved</x:v>
      </x:c>
      <x:c r="E85" s="63" t="str">
        <x:v>Provisional include — title/abstract screen</x:v>
      </x:c>
      <x:c r="F85" s="63" t="str">
        <x:v>Title/abstract screened; full-text pending</x:v>
      </x:c>
      <x:c r="G85" s="63" t="str">
        <x:v>workshop</x:v>
      </x:c>
      <x:c r="H85" s="63" t="str">
        <x:v>shop scheduling mechanism</x:v>
      </x:c>
      <x:c r="I85" s="63" t="str">
        <x:v>new concentrated-search record; queries=S2,S5; databases=OpenAlex</x:v>
      </x:c>
      <x:c r="J85" s="63" t="str">
        <x:f>IF(COUNTA(B85:I85)=0,"",IF(A85="","MISSING ID",IFERROR(IF(AND(LEFT(A85,1)="L",LEN(A85)=4,ISNUMBER(VALUE(RIGHT(A85,3)))),"OK","CHECK ID"),"CHECK ID")))</x:f>
        <x:v>OK</x:v>
      </x:c>
    </x:row>
    <x:row r="86" ht="48" customHeight="1">
      <x:c r="A86" s="62" t="str">
        <x:v>L110</x:v>
      </x:c>
      <x:c r="B86" s="62" t="str">
        <x:v>Diamantino Falcão; Ana Madureira; Ivo Pereira (2015). Q-learning based hyper-heuristic for scheduling system self-parameterization. DOI: 10.1109/cisti.2015.7170394</x:v>
      </x:c>
      <x:c r="C86" s="62" t="str">
        <x:v>https://doi.org/10.1109/cisti.2015.7170394</x:v>
      </x:c>
      <x:c r="D86" s="62" t="str">
        <x:v>Metadata + abstract retrieved</x:v>
      </x:c>
      <x:c r="E86" s="62" t="str">
        <x:v>Provisional include — title/abstract screen</x:v>
      </x:c>
      <x:c r="F86" s="62" t="str">
        <x:v>Title/abstract screened; full-text pending</x:v>
      </x:c>
      <x:c r="G86" s="62" t="str">
        <x:v>cross-domain optimization</x:v>
      </x:c>
      <x:c r="H86" s="62" t="str">
        <x:v>transferable search-control mechanism</x:v>
      </x:c>
      <x:c r="I86" s="62" t="str">
        <x:v>new concentrated-search record; queries=S5; databases=OpenAlex</x:v>
      </x:c>
      <x:c r="J86" s="62" t="str">
        <x:f>IF(COUNTA(B86:I86)=0,"",IF(A86="","MISSING ID",IFERROR(IF(AND(LEFT(A86,1)="L",LEN(A86)=4,ISNUMBER(VALUE(RIGHT(A86,3)))),"OK","CHECK ID"),"CHECK ID")))</x:f>
        <x:v>OK</x:v>
      </x:c>
    </x:row>
    <x:row r="87" ht="48" customHeight="1">
      <x:c r="A87" s="63" t="str">
        <x:v>L111</x:v>
      </x:c>
      <x:c r="B87" s="63" t="str">
        <x:v>Nasser R. Sabar; Masri Ayob; Graham Kendall; Rong Qu (2014). A Dynamic Multiarmed Bandit-Gene Expression Programming Hyper-Heuristic for Combinatorial Optimization Problems. IEEE Transactions on Cybernetics. DOI: 10.1109/tcyb.2014.2323936</x:v>
      </x:c>
      <x:c r="C87" s="63" t="str">
        <x:v>https://doi.org/10.1109/tcyb.2014.2323936</x:v>
      </x:c>
      <x:c r="D87" s="63" t="str">
        <x:v>Metadata + abstract retrieved</x:v>
      </x:c>
      <x:c r="E87" s="63" t="str">
        <x:v>Provisional include — title/abstract screen</x:v>
      </x:c>
      <x:c r="F87" s="63" t="str">
        <x:v>Title/abstract screened; full-text pending</x:v>
      </x:c>
      <x:c r="G87" s="63" t="str">
        <x:v>routing/transport</x:v>
      </x:c>
      <x:c r="H87" s="63" t="str">
        <x:v>transferable search-control mechanism</x:v>
      </x:c>
      <x:c r="I87" s="63" t="str">
        <x:v>new concentrated-search record; queries=S3,S5; databases=OpenAlex</x:v>
      </x:c>
      <x:c r="J87" s="63" t="str">
        <x:f>IF(COUNTA(B87:I87)=0,"",IF(A87="","MISSING ID",IFERROR(IF(AND(LEFT(A87,1)="L",LEN(A87)=4,ISNUMBER(VALUE(RIGHT(A87,3)))),"OK","CHECK ID"),"CHECK ID")))</x:f>
        <x:v>OK</x:v>
      </x:c>
    </x:row>
    <x:row r="88" ht="48" customHeight="1">
      <x:c r="A88" s="62" t="str">
        <x:v>L112</x:v>
      </x:c>
      <x:c r="B88" s="62" t="str">
        <x:v>András György Levente Kocsis (2014). Efficient Multi-Start Strategies for Local Search Algorithms. arXiv. DOI: 10.1613/jair.3313</x:v>
      </x:c>
      <x:c r="C88" s="62" t="str">
        <x:v>https://doi.org/10.1613/jair.3313</x:v>
      </x:c>
      <x:c r="D88" s="62" t="str">
        <x:v>Metadata + abstract retrieved</x:v>
      </x:c>
      <x:c r="E88" s="62" t="str">
        <x:v>Provisional include — title/abstract screen</x:v>
      </x:c>
      <x:c r="F88" s="62" t="str">
        <x:v>Title/abstract screened; full-text pending</x:v>
      </x:c>
      <x:c r="G88" s="62" t="str">
        <x:v>cross-domain optimization</x:v>
      </x:c>
      <x:c r="H88" s="62" t="str">
        <x:v>transferable search-control mechanism</x:v>
      </x:c>
      <x:c r="I88" s="62" t="str">
        <x:v>new concentrated-search record; queries=S4; databases=arXiv</x:v>
      </x:c>
      <x:c r="J88" s="62" t="str">
        <x:f>IF(COUNTA(B88:I88)=0,"",IF(A88="","MISSING ID",IFERROR(IF(AND(LEFT(A88,1)="L",LEN(A88)=4,ISNUMBER(VALUE(RIGHT(A88,3)))),"OK","CHECK ID"),"CHECK ID")))</x:f>
        <x:v>OK</x:v>
      </x:c>
    </x:row>
    <x:row r="89" ht="48" customHeight="1">
      <x:c r="A89" s="63" t="str">
        <x:v>L113</x:v>
      </x:c>
      <x:c r="B89" s="63" t="str">
        <x:v>Jürgen Branke; Torsten Hildebrandt; Bernd Scholz‐Reiter (2014). Hyper-heuristic Evolution of Dispatching Rules: A Comparison of Rule Representations. Evolutionary Computation. DOI: 10.1162/evco_a_00131</x:v>
      </x:c>
      <x:c r="C89" s="63" t="str">
        <x:v>https://doi.org/10.1162/evco_a_00131</x:v>
      </x:c>
      <x:c r="D89" s="63" t="str">
        <x:v>Metadata + abstract retrieved</x:v>
      </x:c>
      <x:c r="E89" s="63" t="str">
        <x:v>Provisional include — title/abstract screen</x:v>
      </x:c>
      <x:c r="F89" s="63" t="str">
        <x:v>Title/abstract screened; full-text pending</x:v>
      </x:c>
      <x:c r="G89" s="63" t="str">
        <x:v>workshop</x:v>
      </x:c>
      <x:c r="H89" s="63" t="str">
        <x:v>shop scheduling mechanism</x:v>
      </x:c>
      <x:c r="I89" s="63" t="str">
        <x:v>new concentrated-search record; queries=S4; databases=OpenAlex</x:v>
      </x:c>
      <x:c r="J89" s="63" t="str">
        <x:f>IF(COUNTA(B89:I89)=0,"",IF(A89="","MISSING ID",IFERROR(IF(AND(LEFT(A89,1)="L",LEN(A89)=4,ISNUMBER(VALUE(RIGHT(A89,3)))),"OK","CHECK ID"),"CHECK ID")))</x:f>
        <x:v>OK</x:v>
      </x:c>
    </x:row>
    <x:row r="90" ht="48" customHeight="1">
      <x:c r="A90" s="62" t="str">
        <x:v>L114</x:v>
      </x:c>
      <x:c r="B90" s="62" t="str">
        <x:v>Ling Wang; Shengyao Wang; Min Liu (2013). A Pareto-based estimation of distribution algorithm for the multi-objective flexible job-shop scheduling problem. International Journal of Production Research. DOI: 10.1080/00207543.2012.752588</x:v>
      </x:c>
      <x:c r="C90" s="62" t="str">
        <x:v>https://doi.org/10.1080/00207543.2012.752588</x:v>
      </x:c>
      <x:c r="D90" s="62" t="str">
        <x:v>Metadata + abstract retrieved</x:v>
      </x:c>
      <x:c r="E90" s="62" t="str">
        <x:v>Provisional include — title/abstract screen</x:v>
      </x:c>
      <x:c r="F90" s="62" t="str">
        <x:v>Title/abstract screened; full-text pending</x:v>
      </x:c>
      <x:c r="G90" s="62" t="str">
        <x:v>workshop</x:v>
      </x:c>
      <x:c r="H90" s="62" t="str">
        <x:v>shop scheduling mechanism</x:v>
      </x:c>
      <x:c r="I90" s="62" t="str">
        <x:v>new concentrated-search record; queries=S2; databases=OpenAlex</x:v>
      </x:c>
      <x:c r="J90" s="62" t="str">
        <x:f>IF(COUNTA(B90:I90)=0,"",IF(A90="","MISSING ID",IFERROR(IF(AND(LEFT(A90,1)="L",LEN(A90)=4,ISNUMBER(VALUE(RIGHT(A90,3)))),"OK","CHECK ID"),"CHECK ID")))</x:f>
        <x:v>OK</x:v>
      </x:c>
    </x:row>
    <x:row r="91" ht="48" customHeight="1">
      <x:c r="A91" s="63" t="str">
        <x:v>L115</x:v>
      </x:c>
      <x:c r="B91" s="63" t="str">
        <x:v>Jian Xiong; Xu Tan; Kewei Yang; Lining Xing; Yingwu Chen (2012). A Hybrid Multiobjective Evolutionary Approach for Flexible Job‐Shop Scheduling Problems. Mathematical Problems in Engineering. DOI: 10.1155/2012/478981</x:v>
      </x:c>
      <x:c r="C91" s="63" t="str">
        <x:v>https://doi.org/10.1155/2012/478981</x:v>
      </x:c>
      <x:c r="D91" s="63" t="str">
        <x:v>Metadata + abstract retrieved</x:v>
      </x:c>
      <x:c r="E91" s="63" t="str">
        <x:v>Provisional include — title/abstract screen</x:v>
      </x:c>
      <x:c r="F91" s="63" t="str">
        <x:v>Title/abstract screened; full-text pending</x:v>
      </x:c>
      <x:c r="G91" s="63" t="str">
        <x:v>workshop</x:v>
      </x:c>
      <x:c r="H91" s="63" t="str">
        <x:v>shop scheduling mechanism</x:v>
      </x:c>
      <x:c r="I91" s="63" t="str">
        <x:v>new concentrated-search record; queries=S2; databases=OpenAlex</x:v>
      </x:c>
      <x:c r="J91" s="63" t="str">
        <x:f>IF(COUNTA(B91:I91)=0,"",IF(A91="","MISSING ID",IFERROR(IF(AND(LEFT(A91,1)="L",LEN(A91)=4,ISNUMBER(VALUE(RIGHT(A91,3)))),"OK","CHECK ID"),"CHECK ID")))</x:f>
        <x:v>OK</x:v>
      </x:c>
    </x:row>
    <x:row r="92" ht="48" customHeight="1">
      <x:c r="A92" s="62" t="str">
        <x:v>L116</x:v>
      </x:c>
      <x:c r="B92" s="62" t="str">
        <x:v>Ping-Che Hsiao; Tsung-Che Chiang; Li‐Chen Fu (2012). A VNS-based hyper-heuristic with adaptive computational budget of local search. DOI: 10.1109/cec.2012.6252969</x:v>
      </x:c>
      <x:c r="C92" s="62" t="str">
        <x:v>https://doi.org/10.1109/cec.2012.6252969</x:v>
      </x:c>
      <x:c r="D92" s="62" t="str">
        <x:v>Metadata + abstract retrieved</x:v>
      </x:c>
      <x:c r="E92" s="62" t="str">
        <x:v>Provisional include — title/abstract screen</x:v>
      </x:c>
      <x:c r="F92" s="62" t="str">
        <x:v>Title/abstract screened; full-text pending</x:v>
      </x:c>
      <x:c r="G92" s="62" t="str">
        <x:v>workshop</x:v>
      </x:c>
      <x:c r="H92" s="62" t="str">
        <x:v>shop scheduling mechanism</x:v>
      </x:c>
      <x:c r="I92" s="62" t="str">
        <x:v>new concentrated-search record; queries=S4; databases=OpenAlex</x:v>
      </x:c>
      <x:c r="J92" s="62" t="str">
        <x:f>IF(COUNTA(B92:I92)=0,"",IF(A92="","MISSING ID",IFERROR(IF(AND(LEFT(A92,1)="L",LEN(A92)=4,ISNUMBER(VALUE(RIGHT(A92,3)))),"OK","CHECK ID"),"CHECK ID")))</x:f>
        <x:v>OK</x:v>
      </x:c>
    </x:row>
    <x:row r="93" ht="48" customHeight="1">
      <x:c r="A93" s="63" t="str">
        <x:v>L117</x:v>
      </x:c>
      <x:c r="B93" s="63" t="str">
        <x:v>René Drießel; Lars Mönch (2012). An integrated scheduling and material-handling approach for complex job shops: a computational study. International Journal of Production Research. DOI: 10.1080/00207543.2011.639099</x:v>
      </x:c>
      <x:c r="C93" s="63" t="str">
        <x:v>https://doi.org/10.1080/00207543.2011.639099</x:v>
      </x:c>
      <x:c r="D93" s="63" t="str">
        <x:v>Metadata + abstract retrieved</x:v>
      </x:c>
      <x:c r="E93" s="63" t="str">
        <x:v>Provisional include — title/abstract screen</x:v>
      </x:c>
      <x:c r="F93" s="63" t="str">
        <x:v>Title/abstract screened; full-text pending</x:v>
      </x:c>
      <x:c r="G93" s="63" t="str">
        <x:v>workshop</x:v>
      </x:c>
      <x:c r="H93" s="63" t="str">
        <x:v>shop scheduling mechanism</x:v>
      </x:c>
      <x:c r="I93" s="63" t="str">
        <x:v>new concentrated-search record; queries=S6; databases=OpenAlex-S6-trace</x:v>
      </x:c>
      <x:c r="J93" s="63" t="str">
        <x:f>IF(COUNTA(B93:I93)=0,"",IF(A93="","MISSING ID",IFERROR(IF(AND(LEFT(A93,1)="L",LEN(A93)=4,ISNUMBER(VALUE(RIGHT(A93,3)))),"OK","CHECK ID"),"CHECK ID")))</x:f>
        <x:v>OK</x:v>
      </x:c>
    </x:row>
    <x:row r="94" ht="48" customHeight="1">
      <x:c r="A94" s="62" t="str">
        <x:v>L118</x:v>
      </x:c>
      <x:c r="B94" s="62" t="str">
        <x:v>Martin Josef Geiger (2009). Improvements for multi-objective flow shop scheduling by Pareto Iterated Local Search. arXiv</x:v>
      </x:c>
      <x:c r="C94" s="62" t="str">
        <x:v>https://arxiv.org/abs/0907.2993</x:v>
      </x:c>
      <x:c r="D94" s="62" t="str">
        <x:v>Metadata + abstract retrieved</x:v>
      </x:c>
      <x:c r="E94" s="62" t="str">
        <x:v>Provisional include — title/abstract screen</x:v>
      </x:c>
      <x:c r="F94" s="62" t="str">
        <x:v>Title/abstract screened; full-text pending</x:v>
      </x:c>
      <x:c r="G94" s="62" t="str">
        <x:v>workshop</x:v>
      </x:c>
      <x:c r="H94" s="62" t="str">
        <x:v>shop scheduling mechanism</x:v>
      </x:c>
      <x:c r="I94" s="62" t="str">
        <x:v>new concentrated-search record; queries=S2; databases=arXiv</x:v>
      </x:c>
      <x:c r="J94" s="62" t="str">
        <x:f>IF(COUNTA(B94:I94)=0,"",IF(A94="","MISSING ID",IFERROR(IF(AND(LEFT(A94,1)="L",LEN(A94)=4,ISNUMBER(VALUE(RIGHT(A94,3)))),"OK","CHECK ID"),"CHECK ID")))</x:f>
        <x:v>OK</x:v>
      </x:c>
    </x:row>
    <x:row r="95" ht="48" customHeight="1">
      <x:c r="A95" s="63" t="str">
        <x:v>L119</x:v>
      </x:c>
      <x:c r="B95" s="63" t="str">
        <x:v>Martin Josef Geiger (2008). Foundations of the Pareto Iterated Local Search Metaheuristic. arXiv</x:v>
      </x:c>
      <x:c r="C95" s="63" t="str">
        <x:v>https://arxiv.org/abs/0809.0406</x:v>
      </x:c>
      <x:c r="D95" s="63" t="str">
        <x:v>Metadata + abstract retrieved</x:v>
      </x:c>
      <x:c r="E95" s="63" t="str">
        <x:v>Provisional include — title/abstract screen</x:v>
      </x:c>
      <x:c r="F95" s="63" t="str">
        <x:v>Title/abstract screened; full-text pending</x:v>
      </x:c>
      <x:c r="G95" s="63" t="str">
        <x:v>workshop</x:v>
      </x:c>
      <x:c r="H95" s="63" t="str">
        <x:v>shop scheduling mechanism</x:v>
      </x:c>
      <x:c r="I95" s="63" t="str">
        <x:v>new concentrated-search record; queries=S2; databases=arXiv</x:v>
      </x:c>
      <x:c r="J95" s="63" t="str">
        <x:f>IF(COUNTA(B95:I95)=0,"",IF(A95="","MISSING ID",IFERROR(IF(AND(LEFT(A95,1)="L",LEN(A95)=4,ISNUMBER(VALUE(RIGHT(A95,3)))),"OK","CHECK ID"),"CHECK ID")))</x:f>
        <x:v>OK</x:v>
      </x:c>
    </x:row>
    <x:row r="96" ht="48" customHeight="1">
      <x:c r="A96" s="62" t="str">
        <x:v>L120</x:v>
      </x:c>
      <x:c r="B96" s="62" t="str">
        <x:v>Eugeniusz Nowicki; Czesław Smutnicki (1996). A Fast Taboo Search Algorithm for the Job Shop Problem. Management Science. DOI: 10.1287/mnsc.42.6.797</x:v>
      </x:c>
      <x:c r="C96" s="62" t="str">
        <x:v>https://doi.org/10.1287/mnsc.42.6.797</x:v>
      </x:c>
      <x:c r="D96" s="62" t="str">
        <x:v>Metadata + abstract retrieved</x:v>
      </x:c>
      <x:c r="E96" s="62" t="str">
        <x:v>Provisional include — title/abstract screen</x:v>
      </x:c>
      <x:c r="F96" s="62" t="str">
        <x:v>Title/abstract screened; full-text pending</x:v>
      </x:c>
      <x:c r="G96" s="62" t="str">
        <x:v>workshop</x:v>
      </x:c>
      <x:c r="H96" s="62" t="str">
        <x:v>shop scheduling mechanism</x:v>
      </x:c>
      <x:c r="I96" s="62" t="str">
        <x:v>new concentrated-search record; queries=S6; databases=OpenAlex-S6-trace</x:v>
      </x:c>
      <x:c r="J96" s="62" t="str">
        <x:f>IF(COUNTA(B96:I96)=0,"",IF(A96="","MISSING ID",IFERROR(IF(AND(LEFT(A96,1)="L",LEN(A96)=4,ISNUMBER(VALUE(RIGHT(A96,3)))),"OK","CHECK ID"),"CHECK ID")))</x:f>
        <x:v>OK</x:v>
      </x:c>
    </x:row>
    <x:row r="97" ht="48" customHeight="1">
      <x:c r="A97" s="63" t="str">
        <x:v>L121</x:v>
      </x:c>
      <x:c r="B97" s="63" t="str">
        <x:v>Stéphane Dauzère‐Pérès; Junwen Ding; Liji Shen; Karim Tamssaouet (2023). The flexible job shop scheduling problem: A review. European Journal of Operational Research. DOI: 10.1016/j.ejor.2023.05.017</x:v>
      </x:c>
      <x:c r="C97" s="63" t="str">
        <x:v>https://doi.org/10.1016/j.ejor.2023.05.017</x:v>
      </x:c>
      <x:c r="D97" s="63" t="str">
        <x:v>Metadata + abstract retrieved</x:v>
      </x:c>
      <x:c r="E97" s="63" t="str">
        <x:v>Provisional include — title/abstract screen</x:v>
      </x:c>
      <x:c r="F97" s="63" t="str">
        <x:v>Title/abstract screened; full-text pending</x:v>
      </x:c>
      <x:c r="G97" s="63" t="str">
        <x:v>workshop</x:v>
      </x:c>
      <x:c r="H97" s="63" t="str">
        <x:v>shop scheduling mechanism</x:v>
      </x:c>
      <x:c r="I97" s="63" t="str">
        <x:v>new concentrated-search record; queries=S2,S6; databases=OpenAlex,OpenAlex-S6-seed</x:v>
      </x:c>
      <x:c r="J97" s="63" t="str">
        <x:f>IF(COUNTA(B97:I97)=0,"",IF(A97="","MISSING ID",IFERROR(IF(AND(LEFT(A97,1)="L",LEN(A97)=4,ISNUMBER(VALUE(RIGHT(A97,3)))),"OK","CHECK ID"),"CHECK ID")))</x:f>
        <x:v>OK</x:v>
      </x:c>
    </x:row>
    <x:row r="98" ht="48" customHeight="1">
      <x:c r="A98" s="62" t="str">
        <x:v>L122</x:v>
      </x:c>
      <x:c r="B98" s="62" t="str">
        <x:v>Setyo Tri Windras Mara; Rachmadi Norcahyo; Panca Jodiawan; Luluk Lusiantoro; Achmad Pratama Rifai (2022). A survey of adaptive large neighborhood search algorithms and applications. Computers &amp; Operations Research. DOI: 10.1016/j.cor.2022.105903</x:v>
      </x:c>
      <x:c r="C98" s="62" t="str">
        <x:v>https://doi.org/10.1016/j.cor.2022.105903</x:v>
      </x:c>
      <x:c r="D98" s="62" t="str">
        <x:v>Metadata retrieved; abstract unavailable</x:v>
      </x:c>
      <x:c r="E98" s="62" t="str">
        <x:v>Provisional include — title/abstract screen</x:v>
      </x:c>
      <x:c r="F98" s="62" t="str">
        <x:v>Title/abstract screened; full-text pending</x:v>
      </x:c>
      <x:c r="G98" s="62" t="str">
        <x:v>cross-domain optimization</x:v>
      </x:c>
      <x:c r="H98" s="62" t="str">
        <x:v>transferable search-control mechanism</x:v>
      </x:c>
      <x:c r="I98" s="62" t="str">
        <x:v>new concentrated-search record; queries=S6; databases=OpenAlex-S6-seed,OpenAlex-S6-trace</x:v>
      </x:c>
      <x:c r="J98" s="62" t="str">
        <x:f>IF(COUNTA(B98:I98)=0,"",IF(A98="","MISSING ID",IFERROR(IF(AND(LEFT(A98,1)="L",LEN(A98)=4,ISNUMBER(VALUE(RIGHT(A98,3)))),"OK","CHECK ID"),"CHECK ID")))</x:f>
        <x:v>OK</x:v>
      </x:c>
    </x:row>
  </x:sheetData>
  <x:mergeCells>
    <x:mergeCell ref="A1:J1"/>
    <x:mergeCell ref="A2:J2"/>
  </x:mergeCells>
  <x:dataValidations count="2">
    <x:dataValidation type="list" sqref="F4:F24">
      <x:formula1>"Not started,In progress,Awaiting approval,Complete,Retired"</x:formula1>
    </x:dataValidation>
    <x:dataValidation type="list" sqref="G4:G24">
      <x:formula1>"workshop,warehouse,terminal,transport,other,not reported,unclear"</x:formula1>
    </x:dataValidation>
  </x:dataValidations>
  <x:pageMargins left="0.7" right="0.7" top="0.75" bottom="0.75" header="0.3" footer="0.3"/>
  <x:tableParts count="1">
    <x:tablePart xmlns:r="http://schemas.openxmlformats.org/officeDocument/2006/relationships" r:id="R2ac0566e7eda457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0" hidden="0" customWidth="1"/>
    <x:col min="26" max="26" width="20" hidden="0" customWidth="1"/>
    <x:col min="27" max="27" width="20" hidden="0" customWidth="1"/>
    <x:col min="28" max="28" width="20" hidden="0" customWidth="1"/>
    <x:col min="29" max="29" width="20" hidden="0" customWidth="1"/>
    <x:col min="30" max="30" width="20" hidden="0" customWidth="1"/>
    <x:col min="31" max="31" width="20" hidden="0" customWidth="1"/>
    <x:col min="32" max="32" width="20" hidden="0" customWidth="1"/>
    <x:col min="33" max="33" width="20" hidden="0" customWidth="1"/>
    <x:col min="34" max="34" width="20" hidden="0" customWidth="1"/>
    <x:col min="35" max="35" width="20" hidden="0" customWidth="1"/>
    <x:col min="36" max="36" width="20" hidden="0" customWidth="1"/>
    <x:col min="37" max="37" width="20" hidden="0" customWidth="1"/>
    <x:col min="38" max="38" width="20" hidden="0" customWidth="1"/>
    <x:col min="39" max="39" width="20" hidden="0" customWidth="1"/>
    <x:col min="40" max="40" width="20" hidden="0" customWidth="1"/>
    <x:col min="41" max="41" width="20" hidden="0" customWidth="1"/>
    <x:col min="42" max="42" width="20" hidden="0" customWidth="1"/>
    <x:col min="43" max="43" width="20" hidden="0" customWidth="1"/>
    <x:col min="44" max="44" width="20" hidden="0" customWidth="1"/>
    <x:col min="45" max="45" width="20" hidden="0" customWidth="1"/>
    <x:col min="46" max="46" width="20" hidden="0" customWidth="1"/>
    <x:col min="47" max="47" width="28" hidden="0" customWidth="1"/>
    <x:col min="48" max="48" width="28" hidden="0" customWidth="1"/>
    <x:col min="49" max="49" width="28" hidden="0" customWidth="1"/>
    <x:col min="50" max="50" width="28" hidden="0" customWidth="1"/>
    <x:col min="51" max="51" width="28" hidden="0" customWidth="1"/>
    <x:col min="52" max="52" width="28" hidden="0" customWidth="1"/>
    <x:col min="53" max="53" width="28" hidden="0" customWidth="1"/>
    <x:col min="54" max="54" width="28" hidden="0" customWidth="1"/>
  </x:cols>
  <x:sheetData>
    <x:row r="1" ht="24" customHeight="1">
      <x:c r="A1" s="34" t="str">
        <x:v>Evidence</x:v>
      </x:c>
      <x:c r="B1" s="35"/>
      <x:c r="C1" s="35"/>
      <x:c r="D1" s="35"/>
      <x:c r="E1" s="35"/>
      <x:c r="F1" s="35"/>
      <x:c r="G1" s="35"/>
      <x:c r="H1" s="35"/>
      <x:c r="I1" s="35"/>
      <x:c r="J1" s="35"/>
      <x:c r="K1" s="35"/>
      <x:c r="L1" s="35"/>
      <x:c r="M1" s="35"/>
      <x:c r="N1" s="35"/>
      <x:c r="O1" s="35"/>
      <x:c r="P1" s="35"/>
      <x:c r="Q1" s="35"/>
      <x:c r="R1" s="35"/>
      <x:c r="S1" s="35"/>
      <x:c r="T1" s="35"/>
      <x:c r="U1" s="35"/>
      <x:c r="V1" s="35"/>
      <x:c r="W1" s="35"/>
      <x:c r="X1" s="35"/>
      <x:c r="Y1" s="35"/>
      <x:c r="Z1" s="35"/>
      <x:c r="AA1" s="35"/>
      <x:c r="AB1" s="35"/>
      <x:c r="AC1" s="35"/>
      <x:c r="AD1" s="35"/>
      <x:c r="AE1" s="35"/>
      <x:c r="AF1" s="35"/>
      <x:c r="AG1" s="35"/>
      <x:c r="AH1" s="35"/>
      <x:c r="AI1" s="35"/>
      <x:c r="AJ1" s="35"/>
      <x:c r="AK1" s="35"/>
      <x:c r="AL1" s="35"/>
      <x:c r="AM1" s="35"/>
      <x:c r="AN1" s="35"/>
      <x:c r="AO1" s="35"/>
      <x:c r="AP1" s="35"/>
      <x:c r="AQ1" s="35"/>
      <x:c r="AR1" s="35"/>
      <x:c r="AS1" s="35"/>
      <x:c r="AT1" s="35"/>
      <x:c r="AU1" s="35"/>
      <x:c r="AV1" s="35"/>
      <x:c r="AW1" s="35"/>
      <x:c r="AX1" s="35"/>
      <x:c r="AY1" s="35"/>
      <x:c r="AZ1" s="35"/>
      <x:c r="BA1" s="35"/>
      <x:c r="BB1" s="36"/>
    </x:row>
    <x:row r="2" ht="24" customHeight="1">
      <x:c r="A2" s="37" t="str">
        <x:v>Editable review matrix. Use controlled values where available; select other and fill the labelled taxonomy-extension detail only when needed.</x:v>
      </x:c>
      <x:c r="B2" s="38"/>
      <x:c r="C2" s="38"/>
      <x:c r="D2" s="38"/>
      <x:c r="E2" s="38"/>
      <x:c r="F2" s="38"/>
      <x:c r="G2" s="38"/>
      <x:c r="H2" s="38"/>
      <x:c r="I2" s="38"/>
      <x:c r="J2" s="38"/>
      <x:c r="K2" s="38"/>
      <x:c r="L2" s="38"/>
      <x:c r="M2" s="38"/>
      <x:c r="N2" s="38"/>
      <x:c r="O2" s="38"/>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c r="AW2" s="38"/>
      <x:c r="AX2" s="38"/>
      <x:c r="AY2" s="38"/>
      <x:c r="AZ2" s="38"/>
      <x:c r="BA2" s="38"/>
      <x:c r="BB2" s="39"/>
    </x:row>
    <x:row r="3" ht="24" customHeight="1">
      <x:c r="A3" s="20" t="str">
        <x:v>Evidence ID</x:v>
      </x:c>
      <x:c r="B3" s="21" t="str">
        <x:v>Literature ID</x:v>
      </x:c>
      <x:c r="C3" s="21" t="str">
        <x:v>Source location</x:v>
      </x:c>
      <x:c r="D3" s="21" t="str">
        <x:v>Access / traceability status</x:v>
      </x:c>
      <x:c r="E3" s="21" t="str">
        <x:v>Scheduling problem / notation</x:v>
      </x:c>
      <x:c r="F3" s="21" t="str">
        <x:v>Application context</x:v>
      </x:c>
      <x:c r="G3" s="21" t="str">
        <x:v>Decision object</x:v>
      </x:c>
      <x:c r="H3" s="21" t="str">
        <x:v>System entities</x:v>
      </x:c>
      <x:c r="I3" s="21" t="str">
        <x:v>Decision variables</x:v>
      </x:c>
      <x:c r="J3" s="21" t="str">
        <x:v>Objectives</x:v>
      </x:c>
      <x:c r="K3" s="21" t="str">
        <x:v>Constraints</x:v>
      </x:c>
      <x:c r="L3" s="21" t="str">
        <x:v>Assumptions</x:v>
      </x:c>
      <x:c r="M3" s="21" t="str">
        <x:v>Environment</x:v>
      </x:c>
      <x:c r="N3" s="21" t="str">
        <x:v>Offline / online status</x:v>
      </x:c>
      <x:c r="O3" s="21" t="str">
        <x:v>Event detection / rescheduling trigger</x:v>
      </x:c>
      <x:c r="P3" s="21" t="str">
        <x:v>Disturbance model</x:v>
      </x:c>
      <x:c r="Q3" s="21" t="str">
        <x:v>Disturbance timing</x:v>
      </x:c>
      <x:c r="R3" s="21" t="str">
        <x:v>Disturbance duration</x:v>
      </x:c>
      <x:c r="S3" s="21" t="str">
        <x:v>Affected resource</x:v>
      </x:c>
      <x:c r="T3" s="21" t="str">
        <x:v>Recovery policy</x:v>
      </x:c>
      <x:c r="U3" s="21" t="str">
        <x:v>Coupling</x:v>
      </x:c>
      <x:c r="V3" s="21" t="str">
        <x:v>Solution family</x:v>
      </x:c>
      <x:c r="W3" s="21" t="str">
        <x:v>Evaluation objective</x:v>
      </x:c>
      <x:c r="X3" s="21" t="str">
        <x:v>Taxonomy extension detail</x:v>
      </x:c>
      <x:c r="Y3" s="21" t="str">
        <x:v>Encoding / state</x:v>
      </x:c>
      <x:c r="Z3" s="21" t="str">
        <x:v>Decoder / environment transition</x:v>
      </x:c>
      <x:c r="AA3" s="21" t="str">
        <x:v>Repair / conflict handling</x:v>
      </x:c>
      <x:c r="AB3" s="21" t="str">
        <x:v>Termination rule</x:v>
      </x:c>
      <x:c r="AC3" s="21" t="str">
        <x:v>Main algorithm loop</x:v>
      </x:c>
      <x:c r="AD3" s="21" t="str">
        <x:v>Improvement insertion point</x:v>
      </x:c>
      <x:c r="AE3" s="21" t="str">
        <x:v>Dataset / instance source</x:v>
      </x:c>
      <x:c r="AF3" s="21" t="str">
        <x:v>Jobs</x:v>
      </x:c>
      <x:c r="AG3" s="21" t="str">
        <x:v>Operations</x:v>
      </x:c>
      <x:c r="AH3" s="21" t="str">
        <x:v>Machines</x:v>
      </x:c>
      <x:c r="AI3" s="21" t="str">
        <x:v>AGVs</x:v>
      </x:c>
      <x:c r="AJ3" s="21" t="str">
        <x:v>Layout</x:v>
      </x:c>
      <x:c r="AK3" s="21" t="str">
        <x:v>Scale tier</x:v>
      </x:c>
      <x:c r="AL3" s="21" t="str">
        <x:v>Baselines</x:v>
      </x:c>
      <x:c r="AM3" s="21" t="str">
        <x:v>Parameter budget</x:v>
      </x:c>
      <x:c r="AN3" s="21" t="str">
        <x:v>Stopping condition</x:v>
      </x:c>
      <x:c r="AO3" s="21" t="str">
        <x:v>Independent runs</x:v>
      </x:c>
      <x:c r="AP3" s="21" t="str">
        <x:v>Random seeds</x:v>
      </x:c>
      <x:c r="AQ3" s="21" t="str">
        <x:v>Statistical tests</x:v>
      </x:c>
      <x:c r="AR3" s="21" t="str">
        <x:v>Metrics / Pareto reference point</x:v>
      </x:c>
      <x:c r="AS3" s="21" t="str">
        <x:v>Code / data / parameters</x:v>
      </x:c>
      <x:c r="AT3" s="21" t="str">
        <x:v>Author conclusion</x:v>
      </x:c>
      <x:c r="AU3" s="21" t="str">
        <x:v>Direct evidence</x:v>
      </x:c>
      <x:c r="AV3" s="21" t="str">
        <x:v>AI inference</x:v>
      </x:c>
      <x:c r="AW3" s="21" t="str">
        <x:v>Limitation</x:v>
      </x:c>
      <x:c r="AX3" s="21" t="str">
        <x:v>Unresolved verification</x:v>
      </x:c>
      <x:c r="AY3" s="21" t="str">
        <x:v>Evidence class</x:v>
      </x:c>
      <x:c r="AZ3" s="21" t="str">
        <x:v>Evidence strength</x:v>
      </x:c>
      <x:c r="BA3" s="21" t="str">
        <x:v>Review status</x:v>
      </x:c>
      <x:c r="BB3" s="22" t="str">
        <x:v>ID check</x:v>
      </x:c>
    </x:row>
    <x:row r="4" ht="48" customHeight="1">
      <x:c r="A4" s="47" t="str">
        <x:v>L030-E01</x:v>
      </x:c>
      <x:c r="B4" s="48" t="str">
        <x:v>L030</x:v>
      </x:c>
      <x:c r="C4" s="48" t="str">
        <x:v>OpenAlex-S6-trace S6; title+metadata</x:v>
      </x:c>
      <x:c r="D4" s="48" t="str">
        <x:v>Abstract unavailable</x:v>
      </x:c>
      <x:c r="E4" s="48" t="str">
        <x:v>machine–AGV joint scheduling</x:v>
      </x:c>
      <x:c r="F4" s="48" t="str">
        <x:v>workshop</x:v>
      </x:c>
      <x:c r="G4" s="48" t="str">
        <x:v>machine/operation/vehicle scheduling or adaptive search</x:v>
      </x:c>
      <x:c r="H4" s="48" t="str">
        <x:v>jobs, operations, machines, AGVs</x:v>
      </x:c>
      <x:c r="I4" s="48" t="str">
        <x:v>Pending full-text extraction</x:v>
      </x:c>
      <x:c r="J4" s="48" t="str">
        <x:v>Pending full-text extraction</x:v>
      </x:c>
      <x:c r="K4" s="48" t="str">
        <x:v>Pending full-text extraction</x:v>
      </x:c>
      <x:c r="L4" s="48" t="str">
        <x:v>Pending full-text extraction</x:v>
      </x:c>
      <x:c r="M4" s="48" t="str">
        <x:v>workshop</x:v>
      </x:c>
      <x:c r="N4" s="48" t="str">
        <x:v>static/offline or not stated</x:v>
      </x:c>
      <x:c r="O4" s="48" t="str"/>
      <x:c r="P4" s="48" t="str"/>
      <x:c r="Q4" s="48" t="str"/>
      <x:c r="R4" s="48" t="str"/>
      <x:c r="S4" s="48" t="str"/>
      <x:c r="T4" s="48" t="str"/>
      <x:c r="U4" s="48" t="str">
        <x:v>machine–transport coupled</x:v>
      </x:c>
      <x:c r="V4" s="48" t="str">
        <x:v>scheduling/metaheuristic</x:v>
      </x:c>
      <x:c r="W4" s="48" t="str"/>
      <x:c r="X4" s="48" t="str">
        <x:v>Frozen-query match: S1; source queries: S6</x:v>
      </x:c>
      <x:c r="Y4" s="48" t="str"/>
      <x:c r="Z4" s="48" t="str"/>
      <x:c r="AA4" s="48" t="str"/>
      <x:c r="AB4" s="48" t="str"/>
      <x:c r="AC4" s="48" t="str"/>
      <x:c r="AD4" s="48" t="str"/>
      <x:c r="AE4" s="48" t="str"/>
      <x:c r="AF4" s="48" t="str"/>
      <x:c r="AG4" s="48" t="str"/>
      <x:c r="AH4" s="48" t="str"/>
      <x:c r="AI4" s="48" t="str"/>
      <x:c r="AJ4" s="48" t="str"/>
      <x:c r="AK4" s="48" t="str"/>
      <x:c r="AL4" s="48" t="str"/>
      <x:c r="AM4" s="48" t="str"/>
      <x:c r="AN4" s="48" t="str"/>
      <x:c r="AO4" s="48" t="str"/>
      <x:c r="AP4" s="48" t="str"/>
      <x:c r="AQ4" s="48" t="str"/>
      <x:c r="AR4" s="48" t="str"/>
      <x:c r="AS4" s="48" t="str"/>
      <x:c r="AT4" s="48" t="str">
        <x:v>No abstract retrieved; no author conclusion extracted.</x:v>
      </x:c>
      <x:c r="AU4" s="48" t="str">
        <x:v>No full-text direct evidence extracted in step 4.</x:v>
      </x:c>
      <x:c r="AV4" s="48" t="str">
        <x:v>Preliminary relevance inference: meets all concept groups for S1.</x:v>
      </x:c>
      <x:c r="AW4" s="48" t="str">
        <x:v>Title/abstract screening cannot establish implementation identity, novelty, or performance comparability.</x:v>
      </x:c>
      <x:c r="AX4" s="48" t="str">
        <x:v>Verify original full text, method details, experimental budget, and six comparability dimensions.</x:v>
      </x:c>
      <x:c r="AY4" s="48" t="str">
        <x:v>unresolved</x:v>
      </x:c>
      <x:c r="AZ4" s="48" t="str">
        <x:v>indirect</x:v>
      </x:c>
      <x:c r="BA4" s="48" t="str">
        <x:v>Title/abstract screened; full-text pending</x:v>
      </x:c>
      <x:c r="BB4" s="50">
        <x:f>IF(COUNTA(B4:BC4)=0,"",IF(A4="","MISSING ID",IFERROR(IF(AND(LEFT(A4,1)="L",ISNUMBER(SEARCH("-E",A4))),"OK","CHECK ID"),"CHECK ID")))</x:f>
      </x:c>
    </x:row>
    <x:row r="5" ht="48" customHeight="1">
      <x:c r="A5" s="54" t="str">
        <x:v>L031-E01</x:v>
      </x:c>
      <x:c r="B5" s="55" t="str">
        <x:v>L031</x:v>
      </x:c>
      <x:c r="C5" s="55" t="str">
        <x:v>OpenAlex-S6-trace S6; title+metadata</x:v>
      </x:c>
      <x:c r="D5" s="55" t="str">
        <x:v>Abstract unavailable</x:v>
      </x:c>
      <x:c r="E5" s="55" t="str">
        <x:v>machine–AGV joint scheduling</x:v>
      </x:c>
      <x:c r="F5" s="55" t="str">
        <x:v>workshop</x:v>
      </x:c>
      <x:c r="G5" s="55" t="str">
        <x:v>machine/operation/vehicle scheduling or adaptive search</x:v>
      </x:c>
      <x:c r="H5" s="55" t="str">
        <x:v>jobs, operations, machines, AGVs</x:v>
      </x:c>
      <x:c r="I5" s="55" t="str">
        <x:v>Pending full-text extraction</x:v>
      </x:c>
      <x:c r="J5" s="55" t="str">
        <x:v>Pending full-text extraction</x:v>
      </x:c>
      <x:c r="K5" s="55" t="str">
        <x:v>Pending full-text extraction</x:v>
      </x:c>
      <x:c r="L5" s="55" t="str">
        <x:v>Pending full-text extraction</x:v>
      </x:c>
      <x:c r="M5" s="55" t="str">
        <x:v>workshop</x:v>
      </x:c>
      <x:c r="N5" s="55" t="str">
        <x:v>static/offline or not stated</x:v>
      </x:c>
      <x:c r="O5" s="55" t="str"/>
      <x:c r="P5" s="55" t="str"/>
      <x:c r="Q5" s="55" t="str"/>
      <x:c r="R5" s="55" t="str"/>
      <x:c r="S5" s="55" t="str"/>
      <x:c r="T5" s="55" t="str"/>
      <x:c r="U5" s="55" t="str">
        <x:v>machine–transport coupled</x:v>
      </x:c>
      <x:c r="V5" s="55" t="str">
        <x:v>scheduling/metaheuristic</x:v>
      </x:c>
      <x:c r="W5" s="55" t="str"/>
      <x:c r="X5" s="55" t="str">
        <x:v>Frozen-query match: S1; source queries: S6</x:v>
      </x:c>
      <x:c r="Y5" s="55" t="str"/>
      <x:c r="Z5" s="55" t="str"/>
      <x:c r="AA5" s="55" t="str"/>
      <x:c r="AB5" s="55" t="str"/>
      <x:c r="AC5" s="55" t="str"/>
      <x:c r="AD5" s="55" t="str"/>
      <x:c r="AE5" s="55" t="str"/>
      <x:c r="AF5" s="55" t="str"/>
      <x:c r="AG5" s="55" t="str"/>
      <x:c r="AH5" s="55" t="str"/>
      <x:c r="AI5" s="55" t="str"/>
      <x:c r="AJ5" s="55" t="str"/>
      <x:c r="AK5" s="55" t="str"/>
      <x:c r="AL5" s="55" t="str"/>
      <x:c r="AM5" s="55" t="str"/>
      <x:c r="AN5" s="55" t="str"/>
      <x:c r="AO5" s="55" t="str"/>
      <x:c r="AP5" s="55" t="str"/>
      <x:c r="AQ5" s="55" t="str"/>
      <x:c r="AR5" s="55" t="str"/>
      <x:c r="AS5" s="55" t="str"/>
      <x:c r="AT5" s="55" t="str">
        <x:v>No abstract retrieved; no author conclusion extracted.</x:v>
      </x:c>
      <x:c r="AU5" s="55" t="str">
        <x:v>No full-text direct evidence extracted in step 4.</x:v>
      </x:c>
      <x:c r="AV5" s="55" t="str">
        <x:v>Preliminary relevance inference: meets all concept groups for S1.</x:v>
      </x:c>
      <x:c r="AW5" s="55" t="str">
        <x:v>Title/abstract screening cannot establish implementation identity, novelty, or performance comparability.</x:v>
      </x:c>
      <x:c r="AX5" s="55" t="str">
        <x:v>Verify original full text, method details, experimental budget, and six comparability dimensions.</x:v>
      </x:c>
      <x:c r="AY5" s="55" t="str">
        <x:v>unresolved</x:v>
      </x:c>
      <x:c r="AZ5" s="55" t="str">
        <x:v>indirect</x:v>
      </x:c>
      <x:c r="BA5" s="55" t="str">
        <x:v>Title/abstract screened; full-text pending</x:v>
      </x:c>
      <x:c r="BB5" s="57">
        <x:f>IF(COUNTA(B5:BC5)=0,"",IF(A5="","MISSING ID",IFERROR(IF(AND(LEFT(A5,1)="L",ISNUMBER(SEARCH("-E",A5))),"OK","CHECK ID"),"CHECK ID")))</x:f>
      </x:c>
    </x:row>
    <x:row r="6" ht="48" customHeight="1">
      <x:c r="A6" s="51" t="str">
        <x:v>L032-E01</x:v>
      </x:c>
      <x:c r="B6" s="52" t="str">
        <x:v>L032</x:v>
      </x:c>
      <x:c r="C6" s="52" t="str">
        <x:v>OpenAlex-S6-trace S6; title+abstract</x:v>
      </x:c>
      <x:c r="D6" s="52" t="str">
        <x:v>Database abstract available</x:v>
      </x:c>
      <x:c r="E6" s="52" t="str">
        <x:v>machine–AGV joint scheduling</x:v>
      </x:c>
      <x:c r="F6" s="52" t="str">
        <x:v>workshop</x:v>
      </x:c>
      <x:c r="G6" s="52" t="str">
        <x:v>machine/operation/vehicle scheduling or adaptive search</x:v>
      </x:c>
      <x:c r="H6" s="52" t="str">
        <x:v>jobs, operations, machines, AGVs</x:v>
      </x:c>
      <x:c r="I6" s="52" t="str">
        <x:v>Pending full-text extraction</x:v>
      </x:c>
      <x:c r="J6" s="52" t="str">
        <x:v>Pending full-text extraction</x:v>
      </x:c>
      <x:c r="K6" s="52" t="str">
        <x:v>Pending full-text extraction</x:v>
      </x:c>
      <x:c r="L6" s="52" t="str">
        <x:v>Pending full-text extraction</x:v>
      </x:c>
      <x:c r="M6" s="52" t="str">
        <x:v>workshop</x:v>
      </x:c>
      <x:c r="N6" s="52" t="str">
        <x:v>static/offline or not stated</x:v>
      </x:c>
      <x:c r="O6" s="52" t="str"/>
      <x:c r="P6" s="52" t="str"/>
      <x:c r="Q6" s="52" t="str"/>
      <x:c r="R6" s="52" t="str"/>
      <x:c r="S6" s="52" t="str"/>
      <x:c r="T6" s="52" t="str"/>
      <x:c r="U6" s="52" t="str">
        <x:v>machine–transport coupled</x:v>
      </x:c>
      <x:c r="V6" s="52" t="str">
        <x:v>scheduling/metaheuristic</x:v>
      </x:c>
      <x:c r="W6" s="52" t="str"/>
      <x:c r="X6" s="52" t="str">
        <x:v>Frozen-query match: S1; source queries: S6</x:v>
      </x:c>
      <x:c r="Y6" s="52" t="str"/>
      <x:c r="Z6" s="52" t="str"/>
      <x:c r="AA6" s="52" t="str"/>
      <x:c r="AB6" s="52" t="str"/>
      <x:c r="AC6" s="52" t="str"/>
      <x:c r="AD6" s="52" t="str"/>
      <x:c r="AE6" s="52" t="str"/>
      <x:c r="AF6" s="52" t="str"/>
      <x:c r="AG6" s="52" t="str"/>
      <x:c r="AH6" s="52" t="str"/>
      <x:c r="AI6" s="52" t="str"/>
      <x:c r="AJ6" s="52" t="str"/>
      <x:c r="AK6" s="52" t="str"/>
      <x:c r="AL6" s="52" t="str"/>
      <x:c r="AM6" s="52" t="str"/>
      <x:c r="AN6" s="52" t="str"/>
      <x:c r="AO6" s="52" t="str"/>
      <x:c r="AP6" s="52" t="str"/>
      <x:c r="AQ6" s="52" t="str"/>
      <x:c r="AR6" s="52" t="str"/>
      <x:c r="AS6" s="52" t="str"/>
      <x:c r="AT6" s="52" t="str">
        <x:v>Aiming at the flexible job shop scheduling problem with limited AGV transportation, this paper presents an AGV and machine-integrated scheduling model with the optimisation objectives of minimising the maximum completion time and total energy consumption. It proposes an Improved SPEA2 Algorithm Combining DQN Algorithm (DQN-ISPEA2). The algorithm adopts a three-stage coding scheme for the workpiece, machine, and AGV. In the population initialisation stage, a hybrid initialisation strategy is employed to enhance the quality of the initial solution. DQN is used to adaptively select appropriate mu</x:v>
      </x:c>
      <x:c r="AU6" s="52" t="str">
        <x:v>No full-text direct evidence extracted in step 4.</x:v>
      </x:c>
      <x:c r="AV6" s="52" t="str">
        <x:v>Preliminary relevance inference: meets all concept groups for S1.</x:v>
      </x:c>
      <x:c r="AW6" s="52" t="str">
        <x:v>Title/abstract screening cannot establish implementation identity, novelty, or performance comparability.</x:v>
      </x:c>
      <x:c r="AX6" s="52" t="str">
        <x:v>Verify original full text, method details, experimental budget, and six comparability dimensions.</x:v>
      </x:c>
      <x:c r="AY6" s="52" t="str">
        <x:v>unresolved</x:v>
      </x:c>
      <x:c r="AZ6" s="52" t="str">
        <x:v>indirect</x:v>
      </x:c>
      <x:c r="BA6" s="52" t="str">
        <x:v>Title/abstract screened; full-text pending</x:v>
      </x:c>
      <x:c r="BB6" s="50">
        <x:f>IF(COUNTA(B6:BC6)=0,"",IF(A6="","MISSING ID",IFERROR(IF(AND(LEFT(A6,1)="L",ISNUMBER(SEARCH("-E",A6))),"OK","CHECK ID"),"CHECK ID")))</x:f>
      </x:c>
    </x:row>
    <x:row r="7" ht="48" customHeight="1">
      <x:c r="A7" s="54" t="str">
        <x:v>L033-E01</x:v>
      </x:c>
      <x:c r="B7" s="55" t="str">
        <x:v>L033</x:v>
      </x:c>
      <x:c r="C7" s="55" t="str">
        <x:v>arXiv S1; title+abstract</x:v>
      </x:c>
      <x:c r="D7" s="55" t="str">
        <x:v>Database abstract available</x:v>
      </x:c>
      <x:c r="E7" s="55" t="str">
        <x:v>machine–AGV joint scheduling</x:v>
      </x:c>
      <x:c r="F7" s="55" t="str">
        <x:v>workshop</x:v>
      </x:c>
      <x:c r="G7" s="55" t="str">
        <x:v>machine/operation/vehicle scheduling or adaptive search</x:v>
      </x:c>
      <x:c r="H7" s="55" t="str">
        <x:v>jobs, operations, machines, AGVs</x:v>
      </x:c>
      <x:c r="I7" s="55" t="str">
        <x:v>Pending full-text extraction</x:v>
      </x:c>
      <x:c r="J7" s="55" t="str">
        <x:v>Pending full-text extraction</x:v>
      </x:c>
      <x:c r="K7" s="55" t="str">
        <x:v>Pending full-text extraction</x:v>
      </x:c>
      <x:c r="L7" s="55" t="str">
        <x:v>Pending full-text extraction</x:v>
      </x:c>
      <x:c r="M7" s="55" t="str">
        <x:v>workshop</x:v>
      </x:c>
      <x:c r="N7" s="55" t="str">
        <x:v>dynamic/online</x:v>
      </x:c>
      <x:c r="O7" s="55" t="str"/>
      <x:c r="P7" s="55" t="str"/>
      <x:c r="Q7" s="55" t="str"/>
      <x:c r="R7" s="55" t="str"/>
      <x:c r="S7" s="55" t="str"/>
      <x:c r="T7" s="55" t="str"/>
      <x:c r="U7" s="55" t="str">
        <x:v>machine–transport coupled</x:v>
      </x:c>
      <x:c r="V7" s="55" t="str">
        <x:v>scheduling/metaheuristic</x:v>
      </x:c>
      <x:c r="W7" s="55" t="str"/>
      <x:c r="X7" s="55" t="str">
        <x:v>Frozen-query match: S1; source queries: S1</x:v>
      </x:c>
      <x:c r="Y7" s="55" t="str"/>
      <x:c r="Z7" s="55" t="str"/>
      <x:c r="AA7" s="55" t="str"/>
      <x:c r="AB7" s="55" t="str"/>
      <x:c r="AC7" s="55" t="str"/>
      <x:c r="AD7" s="55" t="str"/>
      <x:c r="AE7" s="55" t="str"/>
      <x:c r="AF7" s="55" t="str"/>
      <x:c r="AG7" s="55" t="str"/>
      <x:c r="AH7" s="55" t="str"/>
      <x:c r="AI7" s="55" t="str"/>
      <x:c r="AJ7" s="55" t="str"/>
      <x:c r="AK7" s="55" t="str"/>
      <x:c r="AL7" s="55" t="str"/>
      <x:c r="AM7" s="55" t="str"/>
      <x:c r="AN7" s="55" t="str"/>
      <x:c r="AO7" s="55" t="str"/>
      <x:c r="AP7" s="55" t="str"/>
      <x:c r="AQ7" s="55" t="str"/>
      <x:c r="AR7" s="55" t="str"/>
      <x:c r="AS7" s="55" t="str"/>
      <x:c r="AT7" s="55" t="str">
        <x:v>Flexible Manufacturing Systems (FMS) are pivotal in optimizing production processes in today's rapidly evolving manufacturing landscape. This paper advances the traditional job shop scheduling problem by incorporating additional complexities through the simultaneous integration of automated guided vehicles (AGVs) and tool-sharing systems. We propose a novel approach that combines Colored-Timed Petri Nets (CTPNs) with actor-critic model-based reinforcement learning (MBRL), effectively addressing the multifaceted challenges associated with FMS. CTPNs provide a formal modeling structure and dynam</x:v>
      </x:c>
      <x:c r="AU7" s="55" t="str">
        <x:v>No full-text direct evidence extracted in step 4.</x:v>
      </x:c>
      <x:c r="AV7" s="55" t="str">
        <x:v>Preliminary relevance inference: meets all concept groups for S1.</x:v>
      </x:c>
      <x:c r="AW7" s="55" t="str">
        <x:v>Title/abstract screening cannot establish implementation identity, novelty, or performance comparability.</x:v>
      </x:c>
      <x:c r="AX7" s="55" t="str">
        <x:v>Verify original full text, method details, experimental budget, and six comparability dimensions.</x:v>
      </x:c>
      <x:c r="AY7" s="55" t="str">
        <x:v>unresolved</x:v>
      </x:c>
      <x:c r="AZ7" s="55" t="str">
        <x:v>indirect</x:v>
      </x:c>
      <x:c r="BA7" s="55" t="str">
        <x:v>Title/abstract screened; full-text pending</x:v>
      </x:c>
      <x:c r="BB7" s="57">
        <x:f>IF(COUNTA(B7:BC7)=0,"",IF(A7="","MISSING ID",IFERROR(IF(AND(LEFT(A7,1)="L",ISNUMBER(SEARCH("-E",A7))),"OK","CHECK ID"),"CHECK ID")))</x:f>
      </x:c>
    </x:row>
    <x:row r="8" ht="48" customHeight="1">
      <x:c r="A8" s="51" t="str">
        <x:v>L034-E01</x:v>
      </x:c>
      <x:c r="B8" s="52" t="str">
        <x:v>L034</x:v>
      </x:c>
      <x:c r="C8" s="52" t="str">
        <x:v>OpenAlex-S6-trace S6; title+metadata</x:v>
      </x:c>
      <x:c r="D8" s="52" t="str">
        <x:v>Abstract unavailable</x:v>
      </x:c>
      <x:c r="E8" s="52" t="str">
        <x:v>machine–AGV joint scheduling</x:v>
      </x:c>
      <x:c r="F8" s="52" t="str">
        <x:v>workshop</x:v>
      </x:c>
      <x:c r="G8" s="52" t="str">
        <x:v>machine/operation/vehicle scheduling or adaptive search</x:v>
      </x:c>
      <x:c r="H8" s="52" t="str">
        <x:v>jobs, operations, machines, AGVs</x:v>
      </x:c>
      <x:c r="I8" s="52" t="str">
        <x:v>Pending full-text extraction</x:v>
      </x:c>
      <x:c r="J8" s="52" t="str">
        <x:v>Pending full-text extraction</x:v>
      </x:c>
      <x:c r="K8" s="52" t="str">
        <x:v>Pending full-text extraction</x:v>
      </x:c>
      <x:c r="L8" s="52" t="str">
        <x:v>Pending full-text extraction</x:v>
      </x:c>
      <x:c r="M8" s="52" t="str">
        <x:v>workshop</x:v>
      </x:c>
      <x:c r="N8" s="52" t="str">
        <x:v>dynamic/online</x:v>
      </x:c>
      <x:c r="O8" s="52" t="str"/>
      <x:c r="P8" s="52" t="str"/>
      <x:c r="Q8" s="52" t="str"/>
      <x:c r="R8" s="52" t="str"/>
      <x:c r="S8" s="52" t="str"/>
      <x:c r="T8" s="52" t="str"/>
      <x:c r="U8" s="52" t="str">
        <x:v>machine–transport coupled</x:v>
      </x:c>
      <x:c r="V8" s="52" t="str">
        <x:v>scheduling/metaheuristic</x:v>
      </x:c>
      <x:c r="W8" s="52" t="str"/>
      <x:c r="X8" s="52" t="str">
        <x:v>Frozen-query match: S1; source queries: S6</x:v>
      </x:c>
      <x:c r="Y8" s="52" t="str"/>
      <x:c r="Z8" s="52" t="str"/>
      <x:c r="AA8" s="52" t="str"/>
      <x:c r="AB8" s="52" t="str"/>
      <x:c r="AC8" s="52" t="str"/>
      <x:c r="AD8" s="52" t="str"/>
      <x:c r="AE8" s="52" t="str"/>
      <x:c r="AF8" s="52" t="str"/>
      <x:c r="AG8" s="52" t="str"/>
      <x:c r="AH8" s="52" t="str"/>
      <x:c r="AI8" s="52" t="str"/>
      <x:c r="AJ8" s="52" t="str"/>
      <x:c r="AK8" s="52" t="str"/>
      <x:c r="AL8" s="52" t="str"/>
      <x:c r="AM8" s="52" t="str"/>
      <x:c r="AN8" s="52" t="str"/>
      <x:c r="AO8" s="52" t="str"/>
      <x:c r="AP8" s="52" t="str"/>
      <x:c r="AQ8" s="52" t="str"/>
      <x:c r="AR8" s="52" t="str"/>
      <x:c r="AS8" s="52" t="str"/>
      <x:c r="AT8" s="52" t="str">
        <x:v>No abstract retrieved; no author conclusion extracted.</x:v>
      </x:c>
      <x:c r="AU8" s="52" t="str">
        <x:v>No full-text direct evidence extracted in step 4.</x:v>
      </x:c>
      <x:c r="AV8" s="52" t="str">
        <x:v>Preliminary relevance inference: meets all concept groups for S1.</x:v>
      </x:c>
      <x:c r="AW8" s="52" t="str">
        <x:v>Title/abstract screening cannot establish implementation identity, novelty, or performance comparability.</x:v>
      </x:c>
      <x:c r="AX8" s="52" t="str">
        <x:v>Verify original full text, method details, experimental budget, and six comparability dimensions.</x:v>
      </x:c>
      <x:c r="AY8" s="52" t="str">
        <x:v>unresolved</x:v>
      </x:c>
      <x:c r="AZ8" s="52" t="str">
        <x:v>indirect</x:v>
      </x:c>
      <x:c r="BA8" s="52" t="str">
        <x:v>Title/abstract screened; full-text pending</x:v>
      </x:c>
      <x:c r="BB8" s="50">
        <x:f>IF(COUNTA(B8:BC8)=0,"",IF(A8="","MISSING ID",IFERROR(IF(AND(LEFT(A8,1)="L",ISNUMBER(SEARCH("-E",A8))),"OK","CHECK ID"),"CHECK ID")))</x:f>
      </x:c>
    </x:row>
    <x:row r="9" ht="48" customHeight="1">
      <x:c r="A9" s="54" t="str">
        <x:v>L035-E01</x:v>
      </x:c>
      <x:c r="B9" s="55" t="str">
        <x:v>L035</x:v>
      </x:c>
      <x:c r="C9" s="55" t="str">
        <x:v>OpenAlex-S6-trace S6; title+metadata</x:v>
      </x:c>
      <x:c r="D9" s="55" t="str">
        <x:v>Abstract unavailable</x:v>
      </x:c>
      <x:c r="E9" s="55" t="str">
        <x:v>machine–AGV joint scheduling</x:v>
      </x:c>
      <x:c r="F9" s="55" t="str">
        <x:v>workshop</x:v>
      </x:c>
      <x:c r="G9" s="55" t="str">
        <x:v>machine/operation/vehicle scheduling or adaptive search</x:v>
      </x:c>
      <x:c r="H9" s="55" t="str">
        <x:v>jobs, operations, machines, AGVs</x:v>
      </x:c>
      <x:c r="I9" s="55" t="str">
        <x:v>Pending full-text extraction</x:v>
      </x:c>
      <x:c r="J9" s="55" t="str">
        <x:v>Pending full-text extraction</x:v>
      </x:c>
      <x:c r="K9" s="55" t="str">
        <x:v>Pending full-text extraction</x:v>
      </x:c>
      <x:c r="L9" s="55" t="str">
        <x:v>Pending full-text extraction</x:v>
      </x:c>
      <x:c r="M9" s="55" t="str">
        <x:v>workshop</x:v>
      </x:c>
      <x:c r="N9" s="55" t="str">
        <x:v>static/offline or not stated</x:v>
      </x:c>
      <x:c r="O9" s="55" t="str"/>
      <x:c r="P9" s="55" t="str"/>
      <x:c r="Q9" s="55" t="str"/>
      <x:c r="R9" s="55" t="str"/>
      <x:c r="S9" s="55" t="str"/>
      <x:c r="T9" s="55" t="str"/>
      <x:c r="U9" s="55" t="str">
        <x:v>machine–transport coupled</x:v>
      </x:c>
      <x:c r="V9" s="55" t="str">
        <x:v>scheduling/metaheuristic</x:v>
      </x:c>
      <x:c r="W9" s="55" t="str"/>
      <x:c r="X9" s="55" t="str">
        <x:v>Frozen-query match: S1; source queries: S6</x:v>
      </x:c>
      <x:c r="Y9" s="55" t="str"/>
      <x:c r="Z9" s="55" t="str"/>
      <x:c r="AA9" s="55" t="str"/>
      <x:c r="AB9" s="55" t="str"/>
      <x:c r="AC9" s="55" t="str"/>
      <x:c r="AD9" s="55" t="str"/>
      <x:c r="AE9" s="55" t="str"/>
      <x:c r="AF9" s="55" t="str"/>
      <x:c r="AG9" s="55" t="str"/>
      <x:c r="AH9" s="55" t="str"/>
      <x:c r="AI9" s="55" t="str"/>
      <x:c r="AJ9" s="55" t="str"/>
      <x:c r="AK9" s="55" t="str"/>
      <x:c r="AL9" s="55" t="str"/>
      <x:c r="AM9" s="55" t="str"/>
      <x:c r="AN9" s="55" t="str"/>
      <x:c r="AO9" s="55" t="str"/>
      <x:c r="AP9" s="55" t="str"/>
      <x:c r="AQ9" s="55" t="str"/>
      <x:c r="AR9" s="55" t="str"/>
      <x:c r="AS9" s="55" t="str"/>
      <x:c r="AT9" s="55" t="str">
        <x:v>No abstract retrieved; no author conclusion extracted.</x:v>
      </x:c>
      <x:c r="AU9" s="55" t="str">
        <x:v>No full-text direct evidence extracted in step 4.</x:v>
      </x:c>
      <x:c r="AV9" s="55" t="str">
        <x:v>Preliminary relevance inference: meets all concept groups for S1.</x:v>
      </x:c>
      <x:c r="AW9" s="55" t="str">
        <x:v>Title/abstract screening cannot establish implementation identity, novelty, or performance comparability.</x:v>
      </x:c>
      <x:c r="AX9" s="55" t="str">
        <x:v>Verify original full text, method details, experimental budget, and six comparability dimensions.</x:v>
      </x:c>
      <x:c r="AY9" s="55" t="str">
        <x:v>unresolved</x:v>
      </x:c>
      <x:c r="AZ9" s="55" t="str">
        <x:v>indirect</x:v>
      </x:c>
      <x:c r="BA9" s="55" t="str">
        <x:v>Title/abstract screened; full-text pending</x:v>
      </x:c>
      <x:c r="BB9" s="57">
        <x:f>IF(COUNTA(B9:BC9)=0,"",IF(A9="","MISSING ID",IFERROR(IF(AND(LEFT(A9,1)="L",ISNUMBER(SEARCH("-E",A9))),"OK","CHECK ID"),"CHECK ID")))</x:f>
      </x:c>
    </x:row>
    <x:row r="10" ht="48" customHeight="1">
      <x:c r="A10" s="51" t="str">
        <x:v>L036-E01</x:v>
      </x:c>
      <x:c r="B10" s="52" t="str">
        <x:v>L036</x:v>
      </x:c>
      <x:c r="C10" s="52" t="str">
        <x:v>OpenAlex S1; title+metadata</x:v>
      </x:c>
      <x:c r="D10" s="52" t="str">
        <x:v>Abstract unavailable</x:v>
      </x:c>
      <x:c r="E10" s="52" t="str">
        <x:v>machine–AGV joint scheduling</x:v>
      </x:c>
      <x:c r="F10" s="52" t="str">
        <x:v>workshop</x:v>
      </x:c>
      <x:c r="G10" s="52" t="str">
        <x:v>machine/operation/vehicle scheduling or adaptive search</x:v>
      </x:c>
      <x:c r="H10" s="52" t="str">
        <x:v>jobs, operations, machines, AGVs</x:v>
      </x:c>
      <x:c r="I10" s="52" t="str">
        <x:v>Pending full-text extraction</x:v>
      </x:c>
      <x:c r="J10" s="52" t="str">
        <x:v>Pending full-text extraction</x:v>
      </x:c>
      <x:c r="K10" s="52" t="str">
        <x:v>Pending full-text extraction</x:v>
      </x:c>
      <x:c r="L10" s="52" t="str">
        <x:v>Pending full-text extraction</x:v>
      </x:c>
      <x:c r="M10" s="52" t="str">
        <x:v>workshop</x:v>
      </x:c>
      <x:c r="N10" s="52" t="str">
        <x:v>static/offline or not stated</x:v>
      </x:c>
      <x:c r="O10" s="52" t="str"/>
      <x:c r="P10" s="52" t="str"/>
      <x:c r="Q10" s="52" t="str"/>
      <x:c r="R10" s="52" t="str"/>
      <x:c r="S10" s="52" t="str"/>
      <x:c r="T10" s="52" t="str"/>
      <x:c r="U10" s="52" t="str">
        <x:v>machine–transport coupled</x:v>
      </x:c>
      <x:c r="V10" s="52" t="str">
        <x:v>scheduling/metaheuristic</x:v>
      </x:c>
      <x:c r="W10" s="52" t="str"/>
      <x:c r="X10" s="52" t="str">
        <x:v>Frozen-query match: S1; source queries: S1</x:v>
      </x:c>
      <x:c r="Y10" s="52" t="str"/>
      <x:c r="Z10" s="52" t="str"/>
      <x:c r="AA10" s="52" t="str"/>
      <x:c r="AB10" s="52" t="str"/>
      <x:c r="AC10" s="52" t="str"/>
      <x:c r="AD10" s="52" t="str"/>
      <x:c r="AE10" s="52" t="str"/>
      <x:c r="AF10" s="52" t="str"/>
      <x:c r="AG10" s="52" t="str"/>
      <x:c r="AH10" s="52" t="str"/>
      <x:c r="AI10" s="52" t="str"/>
      <x:c r="AJ10" s="52" t="str"/>
      <x:c r="AK10" s="52" t="str"/>
      <x:c r="AL10" s="52" t="str"/>
      <x:c r="AM10" s="52" t="str"/>
      <x:c r="AN10" s="52" t="str"/>
      <x:c r="AO10" s="52" t="str"/>
      <x:c r="AP10" s="52" t="str"/>
      <x:c r="AQ10" s="52" t="str"/>
      <x:c r="AR10" s="52" t="str"/>
      <x:c r="AS10" s="52" t="str"/>
      <x:c r="AT10" s="52" t="str">
        <x:v>No abstract retrieved; no author conclusion extracted.</x:v>
      </x:c>
      <x:c r="AU10" s="52" t="str">
        <x:v>No full-text direct evidence extracted in step 4.</x:v>
      </x:c>
      <x:c r="AV10" s="52" t="str">
        <x:v>Preliminary relevance inference: meets all concept groups for S1.</x:v>
      </x:c>
      <x:c r="AW10" s="52" t="str">
        <x:v>Title/abstract screening cannot establish implementation identity, novelty, or performance comparability.</x:v>
      </x:c>
      <x:c r="AX10" s="52" t="str">
        <x:v>Verify original full text, method details, experimental budget, and six comparability dimensions.</x:v>
      </x:c>
      <x:c r="AY10" s="52" t="str">
        <x:v>unresolved</x:v>
      </x:c>
      <x:c r="AZ10" s="52" t="str">
        <x:v>indirect</x:v>
      </x:c>
      <x:c r="BA10" s="52" t="str">
        <x:v>Title/abstract screened; full-text pending</x:v>
      </x:c>
      <x:c r="BB10" s="50">
        <x:f>IF(COUNTA(B10:BC10)=0,"",IF(A10="","MISSING ID",IFERROR(IF(AND(LEFT(A10,1)="L",ISNUMBER(SEARCH("-E",A10))),"OK","CHECK ID"),"CHECK ID")))</x:f>
      </x:c>
    </x:row>
    <x:row r="11" ht="48" customHeight="1">
      <x:c r="A11" s="54" t="str">
        <x:v>L037-E01</x:v>
      </x:c>
      <x:c r="B11" s="55" t="str">
        <x:v>L037</x:v>
      </x:c>
      <x:c r="C11" s="55" t="str">
        <x:v>OpenAlex S1; title+abstract</x:v>
      </x:c>
      <x:c r="D11" s="55" t="str">
        <x:v>Database abstract available</x:v>
      </x:c>
      <x:c r="E11" s="55" t="str">
        <x:v>machine–AGV joint scheduling</x:v>
      </x:c>
      <x:c r="F11" s="55" t="str">
        <x:v>workshop</x:v>
      </x:c>
      <x:c r="G11" s="55" t="str">
        <x:v>machine/operation/vehicle scheduling or adaptive search</x:v>
      </x:c>
      <x:c r="H11" s="55" t="str">
        <x:v>jobs, operations, machines, AGVs</x:v>
      </x:c>
      <x:c r="I11" s="55" t="str">
        <x:v>Pending full-text extraction</x:v>
      </x:c>
      <x:c r="J11" s="55" t="str">
        <x:v>Pending full-text extraction</x:v>
      </x:c>
      <x:c r="K11" s="55" t="str">
        <x:v>Pending full-text extraction</x:v>
      </x:c>
      <x:c r="L11" s="55" t="str">
        <x:v>Pending full-text extraction</x:v>
      </x:c>
      <x:c r="M11" s="55" t="str">
        <x:v>workshop</x:v>
      </x:c>
      <x:c r="N11" s="55" t="str">
        <x:v>static/offline or not stated</x:v>
      </x:c>
      <x:c r="O11" s="55" t="str"/>
      <x:c r="P11" s="55" t="str"/>
      <x:c r="Q11" s="55" t="str"/>
      <x:c r="R11" s="55" t="str"/>
      <x:c r="S11" s="55" t="str"/>
      <x:c r="T11" s="55" t="str"/>
      <x:c r="U11" s="55" t="str">
        <x:v>machine–transport coupled</x:v>
      </x:c>
      <x:c r="V11" s="55" t="str">
        <x:v>scheduling/metaheuristic</x:v>
      </x:c>
      <x:c r="W11" s="55" t="str"/>
      <x:c r="X11" s="55" t="str">
        <x:v>Frozen-query match: S1; source queries: S1</x:v>
      </x:c>
      <x:c r="Y11" s="55" t="str"/>
      <x:c r="Z11" s="55" t="str"/>
      <x:c r="AA11" s="55" t="str"/>
      <x:c r="AB11" s="55" t="str"/>
      <x:c r="AC11" s="55" t="str"/>
      <x:c r="AD11" s="55" t="str"/>
      <x:c r="AE11" s="55" t="str"/>
      <x:c r="AF11" s="55" t="str"/>
      <x:c r="AG11" s="55" t="str"/>
      <x:c r="AH11" s="55" t="str"/>
      <x:c r="AI11" s="55" t="str"/>
      <x:c r="AJ11" s="55" t="str"/>
      <x:c r="AK11" s="55" t="str"/>
      <x:c r="AL11" s="55" t="str"/>
      <x:c r="AM11" s="55" t="str"/>
      <x:c r="AN11" s="55" t="str"/>
      <x:c r="AO11" s="55" t="str"/>
      <x:c r="AP11" s="55" t="str"/>
      <x:c r="AQ11" s="55" t="str"/>
      <x:c r="AR11" s="55" t="str"/>
      <x:c r="AS11" s="55" t="str"/>
      <x:c r="AT11" s="55" t="str">
        <x:v>Abstract Automated guided vehicles (AGVs) are widely used for transportation in flexible job shop (FJS) systems, and their transportation task scheduling has the same substantial impact on production efficiency as machine scheduling does. However, traditional FJS scheduling methods often prioritize job sequencing and machine selection while ignoring the impact of AGV transportation, resulting in suboptimal scheduling solutions and even difficulties in implementation. To address this issue, this paper formulates a cooperative scheduling model by introducing the AGV scheduling problem into the c</x:v>
      </x:c>
      <x:c r="AU11" s="55" t="str">
        <x:v>No full-text direct evidence extracted in step 4.</x:v>
      </x:c>
      <x:c r="AV11" s="55" t="str">
        <x:v>Preliminary relevance inference: meets all concept groups for S1.</x:v>
      </x:c>
      <x:c r="AW11" s="55" t="str">
        <x:v>Title/abstract screening cannot establish implementation identity, novelty, or performance comparability.</x:v>
      </x:c>
      <x:c r="AX11" s="55" t="str">
        <x:v>Verify original full text, method details, experimental budget, and six comparability dimensions.</x:v>
      </x:c>
      <x:c r="AY11" s="55" t="str">
        <x:v>unresolved</x:v>
      </x:c>
      <x:c r="AZ11" s="55" t="str">
        <x:v>indirect</x:v>
      </x:c>
      <x:c r="BA11" s="55" t="str">
        <x:v>Title/abstract screened; full-text pending</x:v>
      </x:c>
      <x:c r="BB11" s="57">
        <x:f>IF(COUNTA(B11:BC11)=0,"",IF(A11="","MISSING ID",IFERROR(IF(AND(LEFT(A11,1)="L",ISNUMBER(SEARCH("-E",A11))),"OK","CHECK ID"),"CHECK ID")))</x:f>
      </x:c>
    </x:row>
    <x:row r="12" ht="48" customHeight="1">
      <x:c r="A12" s="51" t="str">
        <x:v>L038-E01</x:v>
      </x:c>
      <x:c r="B12" s="52" t="str">
        <x:v>L038</x:v>
      </x:c>
      <x:c r="C12" s="52" t="str">
        <x:v>OpenAlex-S6-trace S6; title+abstract</x:v>
      </x:c>
      <x:c r="D12" s="52" t="str">
        <x:v>Database abstract available</x:v>
      </x:c>
      <x:c r="E12" s="52" t="str">
        <x:v>machine–AGV joint scheduling</x:v>
      </x:c>
      <x:c r="F12" s="52" t="str">
        <x:v>workshop</x:v>
      </x:c>
      <x:c r="G12" s="52" t="str">
        <x:v>machine/operation/vehicle scheduling or adaptive search</x:v>
      </x:c>
      <x:c r="H12" s="52" t="str">
        <x:v>jobs, operations, machines, AGVs</x:v>
      </x:c>
      <x:c r="I12" s="52" t="str">
        <x:v>Pending full-text extraction</x:v>
      </x:c>
      <x:c r="J12" s="52" t="str">
        <x:v>Pending full-text extraction</x:v>
      </x:c>
      <x:c r="K12" s="52" t="str">
        <x:v>Pending full-text extraction</x:v>
      </x:c>
      <x:c r="L12" s="52" t="str">
        <x:v>Pending full-text extraction</x:v>
      </x:c>
      <x:c r="M12" s="52" t="str">
        <x:v>workshop</x:v>
      </x:c>
      <x:c r="N12" s="52" t="str">
        <x:v>static/offline or not stated</x:v>
      </x:c>
      <x:c r="O12" s="52" t="str"/>
      <x:c r="P12" s="52" t="str"/>
      <x:c r="Q12" s="52" t="str"/>
      <x:c r="R12" s="52" t="str"/>
      <x:c r="S12" s="52" t="str"/>
      <x:c r="T12" s="52" t="str"/>
      <x:c r="U12" s="52" t="str">
        <x:v>machine–transport coupled</x:v>
      </x:c>
      <x:c r="V12" s="52" t="str">
        <x:v>scheduling/metaheuristic</x:v>
      </x:c>
      <x:c r="W12" s="52" t="str"/>
      <x:c r="X12" s="52" t="str">
        <x:v>Frozen-query match: S1; source queries: S6</x:v>
      </x:c>
      <x:c r="Y12" s="52" t="str"/>
      <x:c r="Z12" s="52" t="str"/>
      <x:c r="AA12" s="52" t="str"/>
      <x:c r="AB12" s="52" t="str"/>
      <x:c r="AC12" s="52" t="str"/>
      <x:c r="AD12" s="52" t="str"/>
      <x:c r="AE12" s="52" t="str"/>
      <x:c r="AF12" s="52" t="str"/>
      <x:c r="AG12" s="52" t="str"/>
      <x:c r="AH12" s="52" t="str"/>
      <x:c r="AI12" s="52" t="str"/>
      <x:c r="AJ12" s="52" t="str"/>
      <x:c r="AK12" s="52" t="str"/>
      <x:c r="AL12" s="52" t="str"/>
      <x:c r="AM12" s="52" t="str"/>
      <x:c r="AN12" s="52" t="str"/>
      <x:c r="AO12" s="52" t="str"/>
      <x:c r="AP12" s="52" t="str"/>
      <x:c r="AQ12" s="52" t="str"/>
      <x:c r="AR12" s="52" t="str"/>
      <x:c r="AS12" s="52" t="str"/>
      <x:c r="AT12" s="52" t="str">
        <x:v>Today’s industry 5.0 emphasizes the synergy between humans and equipment to raise productivity. This paper investigates a multi-resource constrained job shop scheduling problem, aiming to minimize both the makespan, the total energy consumption of automated guided vehicles (AGVs), and the total workload of workers. To address the problem, we apply an extended disjunctive graph and establish a multi-objective mixed integer linear programming model based on it. Afterward, we develop an enhanced decomposition-based multi-objective evolutionary algorithm with neighborhood search (EMOEA/D-NS) to ef</x:v>
      </x:c>
      <x:c r="AU12" s="52" t="str">
        <x:v>No full-text direct evidence extracted in step 4.</x:v>
      </x:c>
      <x:c r="AV12" s="52" t="str">
        <x:v>Preliminary relevance inference: meets all concept groups for S1.</x:v>
      </x:c>
      <x:c r="AW12" s="52" t="str">
        <x:v>Title/abstract screening cannot establish implementation identity, novelty, or performance comparability.</x:v>
      </x:c>
      <x:c r="AX12" s="52" t="str">
        <x:v>Verify original full text, method details, experimental budget, and six comparability dimensions.</x:v>
      </x:c>
      <x:c r="AY12" s="52" t="str">
        <x:v>unresolved</x:v>
      </x:c>
      <x:c r="AZ12" s="52" t="str">
        <x:v>indirect</x:v>
      </x:c>
      <x:c r="BA12" s="52" t="str">
        <x:v>Title/abstract screened; full-text pending</x:v>
      </x:c>
      <x:c r="BB12" s="50">
        <x:f>IF(COUNTA(B12:BC12)=0,"",IF(A12="","MISSING ID",IFERROR(IF(AND(LEFT(A12,1)="L",ISNUMBER(SEARCH("-E",A12))),"OK","CHECK ID"),"CHECK ID")))</x:f>
      </x:c>
    </x:row>
    <x:row r="13" ht="48" customHeight="1">
      <x:c r="A13" s="54" t="str">
        <x:v>L039-E01</x:v>
      </x:c>
      <x:c r="B13" s="55" t="str">
        <x:v>L039</x:v>
      </x:c>
      <x:c r="C13" s="55" t="str">
        <x:v>OpenAlex S1; title+metadata</x:v>
      </x:c>
      <x:c r="D13" s="55" t="str">
        <x:v>Abstract unavailable</x:v>
      </x:c>
      <x:c r="E13" s="55" t="str">
        <x:v>machine–AGV joint scheduling</x:v>
      </x:c>
      <x:c r="F13" s="55" t="str">
        <x:v>workshop</x:v>
      </x:c>
      <x:c r="G13" s="55" t="str">
        <x:v>machine/operation/vehicle scheduling or adaptive search</x:v>
      </x:c>
      <x:c r="H13" s="55" t="str">
        <x:v>jobs, operations, machines, AGVs</x:v>
      </x:c>
      <x:c r="I13" s="55" t="str">
        <x:v>Pending full-text extraction</x:v>
      </x:c>
      <x:c r="J13" s="55" t="str">
        <x:v>Pending full-text extraction</x:v>
      </x:c>
      <x:c r="K13" s="55" t="str">
        <x:v>Pending full-text extraction</x:v>
      </x:c>
      <x:c r="L13" s="55" t="str">
        <x:v>Pending full-text extraction</x:v>
      </x:c>
      <x:c r="M13" s="55" t="str">
        <x:v>workshop</x:v>
      </x:c>
      <x:c r="N13" s="55" t="str">
        <x:v>static/offline or not stated</x:v>
      </x:c>
      <x:c r="O13" s="55" t="str"/>
      <x:c r="P13" s="55" t="str"/>
      <x:c r="Q13" s="55" t="str"/>
      <x:c r="R13" s="55" t="str"/>
      <x:c r="S13" s="55" t="str"/>
      <x:c r="T13" s="55" t="str"/>
      <x:c r="U13" s="55" t="str">
        <x:v>machine–transport coupled</x:v>
      </x:c>
      <x:c r="V13" s="55" t="str">
        <x:v>scheduling/metaheuristic</x:v>
      </x:c>
      <x:c r="W13" s="55" t="str"/>
      <x:c r="X13" s="55" t="str">
        <x:v>Frozen-query match: S1; source queries: S1</x:v>
      </x:c>
      <x:c r="Y13" s="55" t="str"/>
      <x:c r="Z13" s="55" t="str"/>
      <x:c r="AA13" s="55" t="str"/>
      <x:c r="AB13" s="55" t="str"/>
      <x:c r="AC13" s="55" t="str"/>
      <x:c r="AD13" s="55" t="str"/>
      <x:c r="AE13" s="55" t="str"/>
      <x:c r="AF13" s="55" t="str"/>
      <x:c r="AG13" s="55" t="str"/>
      <x:c r="AH13" s="55" t="str"/>
      <x:c r="AI13" s="55" t="str"/>
      <x:c r="AJ13" s="55" t="str"/>
      <x:c r="AK13" s="55" t="str"/>
      <x:c r="AL13" s="55" t="str"/>
      <x:c r="AM13" s="55" t="str"/>
      <x:c r="AN13" s="55" t="str"/>
      <x:c r="AO13" s="55" t="str"/>
      <x:c r="AP13" s="55" t="str"/>
      <x:c r="AQ13" s="55" t="str"/>
      <x:c r="AR13" s="55" t="str"/>
      <x:c r="AS13" s="55" t="str"/>
      <x:c r="AT13" s="55" t="str">
        <x:v>No abstract retrieved; no author conclusion extracted.</x:v>
      </x:c>
      <x:c r="AU13" s="55" t="str">
        <x:v>No full-text direct evidence extracted in step 4.</x:v>
      </x:c>
      <x:c r="AV13" s="55" t="str">
        <x:v>Preliminary relevance inference: meets all concept groups for S1.</x:v>
      </x:c>
      <x:c r="AW13" s="55" t="str">
        <x:v>Title/abstract screening cannot establish implementation identity, novelty, or performance comparability.</x:v>
      </x:c>
      <x:c r="AX13" s="55" t="str">
        <x:v>Verify original full text, method details, experimental budget, and six comparability dimensions.</x:v>
      </x:c>
      <x:c r="AY13" s="55" t="str">
        <x:v>unresolved</x:v>
      </x:c>
      <x:c r="AZ13" s="55" t="str">
        <x:v>indirect</x:v>
      </x:c>
      <x:c r="BA13" s="55" t="str">
        <x:v>Title/abstract screened; full-text pending</x:v>
      </x:c>
      <x:c r="BB13" s="57">
        <x:f>IF(COUNTA(B13:BC13)=0,"",IF(A13="","MISSING ID",IFERROR(IF(AND(LEFT(A13,1)="L",ISNUMBER(SEARCH("-E",A13))),"OK","CHECK ID"),"CHECK ID")))</x:f>
      </x:c>
    </x:row>
    <x:row r="14" ht="48" customHeight="1">
      <x:c r="A14" s="51" t="str">
        <x:v>L040-E01</x:v>
      </x:c>
      <x:c r="B14" s="52" t="str">
        <x:v>L040</x:v>
      </x:c>
      <x:c r="C14" s="52" t="str">
        <x:v>OpenAlex+OpenAlex-S6-trace S1,S6; title+metadata</x:v>
      </x:c>
      <x:c r="D14" s="52" t="str">
        <x:v>Abstract unavailable</x:v>
      </x:c>
      <x:c r="E14" s="52" t="str">
        <x:v>machine–AGV joint scheduling</x:v>
      </x:c>
      <x:c r="F14" s="52" t="str">
        <x:v>workshop</x:v>
      </x:c>
      <x:c r="G14" s="52" t="str">
        <x:v>machine/operation/vehicle scheduling or adaptive search</x:v>
      </x:c>
      <x:c r="H14" s="52" t="str">
        <x:v>jobs, operations, machines, AGVs</x:v>
      </x:c>
      <x:c r="I14" s="52" t="str">
        <x:v>Pending full-text extraction</x:v>
      </x:c>
      <x:c r="J14" s="52" t="str">
        <x:v>Pending full-text extraction</x:v>
      </x:c>
      <x:c r="K14" s="52" t="str">
        <x:v>Pending full-text extraction</x:v>
      </x:c>
      <x:c r="L14" s="52" t="str">
        <x:v>Pending full-text extraction</x:v>
      </x:c>
      <x:c r="M14" s="52" t="str">
        <x:v>workshop</x:v>
      </x:c>
      <x:c r="N14" s="52" t="str">
        <x:v>dynamic/online</x:v>
      </x:c>
      <x:c r="O14" s="52" t="str"/>
      <x:c r="P14" s="52" t="str"/>
      <x:c r="Q14" s="52" t="str"/>
      <x:c r="R14" s="52" t="str"/>
      <x:c r="S14" s="52" t="str"/>
      <x:c r="T14" s="52" t="str"/>
      <x:c r="U14" s="52" t="str">
        <x:v>machine–transport coupled</x:v>
      </x:c>
      <x:c r="V14" s="52" t="str">
        <x:v>scheduling/metaheuristic</x:v>
      </x:c>
      <x:c r="W14" s="52" t="str"/>
      <x:c r="X14" s="52" t="str">
        <x:v>Frozen-query match: S1; source queries: S1,S6</x:v>
      </x:c>
      <x:c r="Y14" s="52" t="str"/>
      <x:c r="Z14" s="52" t="str"/>
      <x:c r="AA14" s="52" t="str"/>
      <x:c r="AB14" s="52" t="str"/>
      <x:c r="AC14" s="52" t="str"/>
      <x:c r="AD14" s="52" t="str"/>
      <x:c r="AE14" s="52" t="str"/>
      <x:c r="AF14" s="52" t="str"/>
      <x:c r="AG14" s="52" t="str"/>
      <x:c r="AH14" s="52" t="str"/>
      <x:c r="AI14" s="52" t="str"/>
      <x:c r="AJ14" s="52" t="str"/>
      <x:c r="AK14" s="52" t="str"/>
      <x:c r="AL14" s="52" t="str"/>
      <x:c r="AM14" s="52" t="str"/>
      <x:c r="AN14" s="52" t="str"/>
      <x:c r="AO14" s="52" t="str"/>
      <x:c r="AP14" s="52" t="str"/>
      <x:c r="AQ14" s="52" t="str"/>
      <x:c r="AR14" s="52" t="str"/>
      <x:c r="AS14" s="52" t="str"/>
      <x:c r="AT14" s="52" t="str">
        <x:v>No abstract retrieved; no author conclusion extracted.</x:v>
      </x:c>
      <x:c r="AU14" s="52" t="str">
        <x:v>No full-text direct evidence extracted in step 4.</x:v>
      </x:c>
      <x:c r="AV14" s="52" t="str">
        <x:v>Preliminary relevance inference: meets all concept groups for S1.</x:v>
      </x:c>
      <x:c r="AW14" s="52" t="str">
        <x:v>Title/abstract screening cannot establish implementation identity, novelty, or performance comparability.</x:v>
      </x:c>
      <x:c r="AX14" s="52" t="str">
        <x:v>Verify original full text, method details, experimental budget, and six comparability dimensions.</x:v>
      </x:c>
      <x:c r="AY14" s="52" t="str">
        <x:v>unresolved</x:v>
      </x:c>
      <x:c r="AZ14" s="52" t="str">
        <x:v>indirect</x:v>
      </x:c>
      <x:c r="BA14" s="52" t="str">
        <x:v>Title/abstract screened; full-text pending</x:v>
      </x:c>
      <x:c r="BB14" s="50">
        <x:f>IF(COUNTA(B14:BC14)=0,"",IF(A14="","MISSING ID",IFERROR(IF(AND(LEFT(A14,1)="L",ISNUMBER(SEARCH("-E",A14))),"OK","CHECK ID"),"CHECK ID")))</x:f>
      </x:c>
    </x:row>
    <x:row r="15" ht="48" customHeight="1">
      <x:c r="A15" s="54" t="str">
        <x:v>L041-E01</x:v>
      </x:c>
      <x:c r="B15" s="55" t="str">
        <x:v>L041</x:v>
      </x:c>
      <x:c r="C15" s="55" t="str">
        <x:v>OpenAlex-S6-trace S6; title+metadata</x:v>
      </x:c>
      <x:c r="D15" s="55" t="str">
        <x:v>Abstract unavailable</x:v>
      </x:c>
      <x:c r="E15" s="55" t="str">
        <x:v>machine–AGV joint scheduling</x:v>
      </x:c>
      <x:c r="F15" s="55" t="str">
        <x:v>workshop</x:v>
      </x:c>
      <x:c r="G15" s="55" t="str">
        <x:v>machine/operation/vehicle scheduling or adaptive search</x:v>
      </x:c>
      <x:c r="H15" s="55" t="str">
        <x:v>jobs, operations, machines, AGVs</x:v>
      </x:c>
      <x:c r="I15" s="55" t="str">
        <x:v>Pending full-text extraction</x:v>
      </x:c>
      <x:c r="J15" s="55" t="str">
        <x:v>Pending full-text extraction</x:v>
      </x:c>
      <x:c r="K15" s="55" t="str">
        <x:v>Pending full-text extraction</x:v>
      </x:c>
      <x:c r="L15" s="55" t="str">
        <x:v>Pending full-text extraction</x:v>
      </x:c>
      <x:c r="M15" s="55" t="str">
        <x:v>workshop</x:v>
      </x:c>
      <x:c r="N15" s="55" t="str">
        <x:v>static/offline or not stated</x:v>
      </x:c>
      <x:c r="O15" s="55" t="str"/>
      <x:c r="P15" s="55" t="str"/>
      <x:c r="Q15" s="55" t="str"/>
      <x:c r="R15" s="55" t="str"/>
      <x:c r="S15" s="55" t="str"/>
      <x:c r="T15" s="55" t="str"/>
      <x:c r="U15" s="55" t="str">
        <x:v>machine–transport coupled</x:v>
      </x:c>
      <x:c r="V15" s="55" t="str">
        <x:v>scheduling/metaheuristic</x:v>
      </x:c>
      <x:c r="W15" s="55" t="str"/>
      <x:c r="X15" s="55" t="str">
        <x:v>Frozen-query match: S1; source queries: S6</x:v>
      </x:c>
      <x:c r="Y15" s="55" t="str"/>
      <x:c r="Z15" s="55" t="str"/>
      <x:c r="AA15" s="55" t="str"/>
      <x:c r="AB15" s="55" t="str"/>
      <x:c r="AC15" s="55" t="str"/>
      <x:c r="AD15" s="55" t="str"/>
      <x:c r="AE15" s="55" t="str"/>
      <x:c r="AF15" s="55" t="str"/>
      <x:c r="AG15" s="55" t="str"/>
      <x:c r="AH15" s="55" t="str"/>
      <x:c r="AI15" s="55" t="str"/>
      <x:c r="AJ15" s="55" t="str"/>
      <x:c r="AK15" s="55" t="str"/>
      <x:c r="AL15" s="55" t="str"/>
      <x:c r="AM15" s="55" t="str"/>
      <x:c r="AN15" s="55" t="str"/>
      <x:c r="AO15" s="55" t="str"/>
      <x:c r="AP15" s="55" t="str"/>
      <x:c r="AQ15" s="55" t="str"/>
      <x:c r="AR15" s="55" t="str"/>
      <x:c r="AS15" s="55" t="str"/>
      <x:c r="AT15" s="55" t="str">
        <x:v>No abstract retrieved; no author conclusion extracted.</x:v>
      </x:c>
      <x:c r="AU15" s="55" t="str">
        <x:v>No full-text direct evidence extracted in step 4.</x:v>
      </x:c>
      <x:c r="AV15" s="55" t="str">
        <x:v>Preliminary relevance inference: meets all concept groups for S1.</x:v>
      </x:c>
      <x:c r="AW15" s="55" t="str">
        <x:v>Title/abstract screening cannot establish implementation identity, novelty, or performance comparability.</x:v>
      </x:c>
      <x:c r="AX15" s="55" t="str">
        <x:v>Verify original full text, method details, experimental budget, and six comparability dimensions.</x:v>
      </x:c>
      <x:c r="AY15" s="55" t="str">
        <x:v>unresolved</x:v>
      </x:c>
      <x:c r="AZ15" s="55" t="str">
        <x:v>indirect</x:v>
      </x:c>
      <x:c r="BA15" s="55" t="str">
        <x:v>Title/abstract screened; full-text pending</x:v>
      </x:c>
      <x:c r="BB15" s="57">
        <x:f>IF(COUNTA(B15:BC15)=0,"",IF(A15="","MISSING ID",IFERROR(IF(AND(LEFT(A15,1)="L",ISNUMBER(SEARCH("-E",A15))),"OK","CHECK ID"),"CHECK ID")))</x:f>
      </x:c>
    </x:row>
    <x:row r="16" ht="48" customHeight="1">
      <x:c r="A16" s="51" t="str">
        <x:v>L042-E01</x:v>
      </x:c>
      <x:c r="B16" s="52" t="str">
        <x:v>L042</x:v>
      </x:c>
      <x:c r="C16" s="52" t="str">
        <x:v>OpenAlex-S6-trace S6; title+abstract</x:v>
      </x:c>
      <x:c r="D16" s="52" t="str">
        <x:v>Database abstract available</x:v>
      </x:c>
      <x:c r="E16" s="52" t="str">
        <x:v>machine–AGV joint scheduling</x:v>
      </x:c>
      <x:c r="F16" s="52" t="str">
        <x:v>workshop</x:v>
      </x:c>
      <x:c r="G16" s="52" t="str">
        <x:v>machine/operation/vehicle scheduling or adaptive search</x:v>
      </x:c>
      <x:c r="H16" s="52" t="str">
        <x:v>jobs, operations, machines, AGVs</x:v>
      </x:c>
      <x:c r="I16" s="52" t="str">
        <x:v>Pending full-text extraction</x:v>
      </x:c>
      <x:c r="J16" s="52" t="str">
        <x:v>Pending full-text extraction</x:v>
      </x:c>
      <x:c r="K16" s="52" t="str">
        <x:v>Pending full-text extraction</x:v>
      </x:c>
      <x:c r="L16" s="52" t="str">
        <x:v>Pending full-text extraction</x:v>
      </x:c>
      <x:c r="M16" s="52" t="str">
        <x:v>workshop</x:v>
      </x:c>
      <x:c r="N16" s="52" t="str">
        <x:v>static/offline or not stated</x:v>
      </x:c>
      <x:c r="O16" s="52" t="str"/>
      <x:c r="P16" s="52" t="str"/>
      <x:c r="Q16" s="52" t="str"/>
      <x:c r="R16" s="52" t="str"/>
      <x:c r="S16" s="52" t="str"/>
      <x:c r="T16" s="52" t="str"/>
      <x:c r="U16" s="52" t="str">
        <x:v>machine–transport coupled</x:v>
      </x:c>
      <x:c r="V16" s="52" t="str">
        <x:v>scheduling/metaheuristic</x:v>
      </x:c>
      <x:c r="W16" s="52" t="str"/>
      <x:c r="X16" s="52" t="str">
        <x:v>Frozen-query match: S1; source queries: S6</x:v>
      </x:c>
      <x:c r="Y16" s="52" t="str"/>
      <x:c r="Z16" s="52" t="str"/>
      <x:c r="AA16" s="52" t="str"/>
      <x:c r="AB16" s="52" t="str"/>
      <x:c r="AC16" s="52" t="str"/>
      <x:c r="AD16" s="52" t="str"/>
      <x:c r="AE16" s="52" t="str"/>
      <x:c r="AF16" s="52" t="str"/>
      <x:c r="AG16" s="52" t="str"/>
      <x:c r="AH16" s="52" t="str"/>
      <x:c r="AI16" s="52" t="str"/>
      <x:c r="AJ16" s="52" t="str"/>
      <x:c r="AK16" s="52" t="str"/>
      <x:c r="AL16" s="52" t="str"/>
      <x:c r="AM16" s="52" t="str"/>
      <x:c r="AN16" s="52" t="str"/>
      <x:c r="AO16" s="52" t="str"/>
      <x:c r="AP16" s="52" t="str"/>
      <x:c r="AQ16" s="52" t="str"/>
      <x:c r="AR16" s="52" t="str"/>
      <x:c r="AS16" s="52" t="str"/>
      <x:c r="AT16" s="52" t="str">
        <x:v>In the real manufacturing environment, the machining stage of the jobs and the assembly stage of the products are often completed in different workshops. In addition, automatic guided vehicle (AGV) plays an indispensable role in the transportation of jobs from machining workshop to assembly workshop. This paper studies multi-objective three-stage flexible job shop scheduling problem (FJSP-T-A) with minimizing both the makespan and the total energy consumption. In FJSP-T-A, jobs are first machined in flexible job shop, then are transported to assembly workshop by AGVs, and finally are assembled</x:v>
      </x:c>
      <x:c r="AU16" s="52" t="str">
        <x:v>No full-text direct evidence extracted in step 4.</x:v>
      </x:c>
      <x:c r="AV16" s="52" t="str">
        <x:v>Preliminary relevance inference: meets all concept groups for S1.</x:v>
      </x:c>
      <x:c r="AW16" s="52" t="str">
        <x:v>Title/abstract screening cannot establish implementation identity, novelty, or performance comparability.</x:v>
      </x:c>
      <x:c r="AX16" s="52" t="str">
        <x:v>Verify original full text, method details, experimental budget, and six comparability dimensions.</x:v>
      </x:c>
      <x:c r="AY16" s="52" t="str">
        <x:v>unresolved</x:v>
      </x:c>
      <x:c r="AZ16" s="52" t="str">
        <x:v>indirect</x:v>
      </x:c>
      <x:c r="BA16" s="52" t="str">
        <x:v>Title/abstract screened; full-text pending</x:v>
      </x:c>
      <x:c r="BB16" s="50">
        <x:f>IF(COUNTA(B16:BC16)=0,"",IF(A16="","MISSING ID",IFERROR(IF(AND(LEFT(A16,1)="L",ISNUMBER(SEARCH("-E",A16))),"OK","CHECK ID"),"CHECK ID")))</x:f>
      </x:c>
    </x:row>
    <x:row r="17" ht="48" customHeight="1">
      <x:c r="A17" s="54" t="str">
        <x:v>L043-E01</x:v>
      </x:c>
      <x:c r="B17" s="55" t="str">
        <x:v>L043</x:v>
      </x:c>
      <x:c r="C17" s="55" t="str">
        <x:v>OpenAlex-S6-trace S6; title+metadata</x:v>
      </x:c>
      <x:c r="D17" s="55" t="str">
        <x:v>Abstract unavailable</x:v>
      </x:c>
      <x:c r="E17" s="55" t="str">
        <x:v>machine–AGV joint scheduling</x:v>
      </x:c>
      <x:c r="F17" s="55" t="str">
        <x:v>workshop</x:v>
      </x:c>
      <x:c r="G17" s="55" t="str">
        <x:v>machine/operation/vehicle scheduling or adaptive search</x:v>
      </x:c>
      <x:c r="H17" s="55" t="str">
        <x:v>jobs, operations, machines, AGVs</x:v>
      </x:c>
      <x:c r="I17" s="55" t="str">
        <x:v>Pending full-text extraction</x:v>
      </x:c>
      <x:c r="J17" s="55" t="str">
        <x:v>Pending full-text extraction</x:v>
      </x:c>
      <x:c r="K17" s="55" t="str">
        <x:v>Pending full-text extraction</x:v>
      </x:c>
      <x:c r="L17" s="55" t="str">
        <x:v>Pending full-text extraction</x:v>
      </x:c>
      <x:c r="M17" s="55" t="str">
        <x:v>workshop</x:v>
      </x:c>
      <x:c r="N17" s="55" t="str">
        <x:v>static/offline or not stated</x:v>
      </x:c>
      <x:c r="O17" s="55" t="str"/>
      <x:c r="P17" s="55" t="str"/>
      <x:c r="Q17" s="55" t="str"/>
      <x:c r="R17" s="55" t="str"/>
      <x:c r="S17" s="55" t="str"/>
      <x:c r="T17" s="55" t="str"/>
      <x:c r="U17" s="55" t="str">
        <x:v>machine–transport coupled</x:v>
      </x:c>
      <x:c r="V17" s="55" t="str">
        <x:v>scheduling/metaheuristic</x:v>
      </x:c>
      <x:c r="W17" s="55" t="str"/>
      <x:c r="X17" s="55" t="str">
        <x:v>Frozen-query match: S1; source queries: S6</x:v>
      </x:c>
      <x:c r="Y17" s="55" t="str"/>
      <x:c r="Z17" s="55" t="str"/>
      <x:c r="AA17" s="55" t="str"/>
      <x:c r="AB17" s="55" t="str"/>
      <x:c r="AC17" s="55" t="str"/>
      <x:c r="AD17" s="55" t="str"/>
      <x:c r="AE17" s="55" t="str"/>
      <x:c r="AF17" s="55" t="str"/>
      <x:c r="AG17" s="55" t="str"/>
      <x:c r="AH17" s="55" t="str"/>
      <x:c r="AI17" s="55" t="str"/>
      <x:c r="AJ17" s="55" t="str"/>
      <x:c r="AK17" s="55" t="str"/>
      <x:c r="AL17" s="55" t="str"/>
      <x:c r="AM17" s="55" t="str"/>
      <x:c r="AN17" s="55" t="str"/>
      <x:c r="AO17" s="55" t="str"/>
      <x:c r="AP17" s="55" t="str"/>
      <x:c r="AQ17" s="55" t="str"/>
      <x:c r="AR17" s="55" t="str"/>
      <x:c r="AS17" s="55" t="str"/>
      <x:c r="AT17" s="55" t="str">
        <x:v>No abstract retrieved; no author conclusion extracted.</x:v>
      </x:c>
      <x:c r="AU17" s="55" t="str">
        <x:v>No full-text direct evidence extracted in step 4.</x:v>
      </x:c>
      <x:c r="AV17" s="55" t="str">
        <x:v>Preliminary relevance inference: meets all concept groups for S1.</x:v>
      </x:c>
      <x:c r="AW17" s="55" t="str">
        <x:v>Title/abstract screening cannot establish implementation identity, novelty, or performance comparability.</x:v>
      </x:c>
      <x:c r="AX17" s="55" t="str">
        <x:v>Verify original full text, method details, experimental budget, and six comparability dimensions.</x:v>
      </x:c>
      <x:c r="AY17" s="55" t="str">
        <x:v>unresolved</x:v>
      </x:c>
      <x:c r="AZ17" s="55" t="str">
        <x:v>indirect</x:v>
      </x:c>
      <x:c r="BA17" s="55" t="str">
        <x:v>Title/abstract screened; full-text pending</x:v>
      </x:c>
      <x:c r="BB17" s="57">
        <x:f>IF(COUNTA(B17:BC17)=0,"",IF(A17="","MISSING ID",IFERROR(IF(AND(LEFT(A17,1)="L",ISNUMBER(SEARCH("-E",A17))),"OK","CHECK ID"),"CHECK ID")))</x:f>
      </x:c>
    </x:row>
    <x:row r="18" ht="48" customHeight="1">
      <x:c r="A18" s="51" t="str">
        <x:v>L044-E01</x:v>
      </x:c>
      <x:c r="B18" s="52" t="str">
        <x:v>L044</x:v>
      </x:c>
      <x:c r="C18" s="52" t="str">
        <x:v>OpenAlex S1; title+abstract</x:v>
      </x:c>
      <x:c r="D18" s="52" t="str">
        <x:v>Database abstract available</x:v>
      </x:c>
      <x:c r="E18" s="52" t="str">
        <x:v>machine–AGV joint scheduling</x:v>
      </x:c>
      <x:c r="F18" s="52" t="str">
        <x:v>workshop</x:v>
      </x:c>
      <x:c r="G18" s="52" t="str">
        <x:v>machine/operation/vehicle scheduling or adaptive search</x:v>
      </x:c>
      <x:c r="H18" s="52" t="str">
        <x:v>jobs, operations, machines, AGVs</x:v>
      </x:c>
      <x:c r="I18" s="52" t="str">
        <x:v>Pending full-text extraction</x:v>
      </x:c>
      <x:c r="J18" s="52" t="str">
        <x:v>Pending full-text extraction</x:v>
      </x:c>
      <x:c r="K18" s="52" t="str">
        <x:v>Pending full-text extraction</x:v>
      </x:c>
      <x:c r="L18" s="52" t="str">
        <x:v>Pending full-text extraction</x:v>
      </x:c>
      <x:c r="M18" s="52" t="str">
        <x:v>workshop</x:v>
      </x:c>
      <x:c r="N18" s="52" t="str">
        <x:v>dynamic/online</x:v>
      </x:c>
      <x:c r="O18" s="52" t="str"/>
      <x:c r="P18" s="52" t="str"/>
      <x:c r="Q18" s="52" t="str"/>
      <x:c r="R18" s="52" t="str"/>
      <x:c r="S18" s="52" t="str"/>
      <x:c r="T18" s="52" t="str"/>
      <x:c r="U18" s="52" t="str">
        <x:v>machine–transport coupled</x:v>
      </x:c>
      <x:c r="V18" s="52" t="str">
        <x:v>scheduling/metaheuristic</x:v>
      </x:c>
      <x:c r="W18" s="52" t="str"/>
      <x:c r="X18" s="52" t="str">
        <x:v>Frozen-query match: S1; source queries: S1</x:v>
      </x:c>
      <x:c r="Y18" s="52" t="str"/>
      <x:c r="Z18" s="52" t="str"/>
      <x:c r="AA18" s="52" t="str"/>
      <x:c r="AB18" s="52" t="str"/>
      <x:c r="AC18" s="52" t="str"/>
      <x:c r="AD18" s="52" t="str"/>
      <x:c r="AE18" s="52" t="str"/>
      <x:c r="AF18" s="52" t="str"/>
      <x:c r="AG18" s="52" t="str"/>
      <x:c r="AH18" s="52" t="str"/>
      <x:c r="AI18" s="52" t="str"/>
      <x:c r="AJ18" s="52" t="str"/>
      <x:c r="AK18" s="52" t="str"/>
      <x:c r="AL18" s="52" t="str"/>
      <x:c r="AM18" s="52" t="str"/>
      <x:c r="AN18" s="52" t="str"/>
      <x:c r="AO18" s="52" t="str"/>
      <x:c r="AP18" s="52" t="str"/>
      <x:c r="AQ18" s="52" t="str"/>
      <x:c r="AR18" s="52" t="str"/>
      <x:c r="AS18" s="52" t="str"/>
      <x:c r="AT18" s="52" t="str">
        <x:v>The application of automated guided vehicle (AGV) greatly improves the production efficiency of workshop. However, machine flexibility and limited logistics equipment increase the complexity of collaborative scheduling, and frequent dynamic events bring uncertainty. Therefore, this article proposes a real-time scheduling method for dynamic flexible job shop scheduling problem with AGVs using multiagent reinforcement learning (MARL). Specifically, a real-time scheduling framework is proposed in which a multiagent scheduling architecture is designed for achieving task selection, machine allocati</x:v>
      </x:c>
      <x:c r="AU18" s="52" t="str">
        <x:v>No full-text direct evidence extracted in step 4.</x:v>
      </x:c>
      <x:c r="AV18" s="52" t="str">
        <x:v>Preliminary relevance inference: meets all concept groups for S1.</x:v>
      </x:c>
      <x:c r="AW18" s="52" t="str">
        <x:v>Title/abstract screening cannot establish implementation identity, novelty, or performance comparability.</x:v>
      </x:c>
      <x:c r="AX18" s="52" t="str">
        <x:v>Verify original full text, method details, experimental budget, and six comparability dimensions.</x:v>
      </x:c>
      <x:c r="AY18" s="52" t="str">
        <x:v>unresolved</x:v>
      </x:c>
      <x:c r="AZ18" s="52" t="str">
        <x:v>indirect</x:v>
      </x:c>
      <x:c r="BA18" s="52" t="str">
        <x:v>Title/abstract screened; full-text pending</x:v>
      </x:c>
      <x:c r="BB18" s="50">
        <x:f>IF(COUNTA(B18:BC18)=0,"",IF(A18="","MISSING ID",IFERROR(IF(AND(LEFT(A18,1)="L",ISNUMBER(SEARCH("-E",A18))),"OK","CHECK ID"),"CHECK ID")))</x:f>
      </x:c>
    </x:row>
    <x:row r="19" ht="48" customHeight="1">
      <x:c r="A19" s="54" t="str">
        <x:v>L045-E01</x:v>
      </x:c>
      <x:c r="B19" s="55" t="str">
        <x:v>L045</x:v>
      </x:c>
      <x:c r="C19" s="55" t="str">
        <x:v>OpenAlex-S6-trace S6; title+abstract</x:v>
      </x:c>
      <x:c r="D19" s="55" t="str">
        <x:v>Database abstract available</x:v>
      </x:c>
      <x:c r="E19" s="55" t="str">
        <x:v>machine–AGV joint scheduling</x:v>
      </x:c>
      <x:c r="F19" s="55" t="str">
        <x:v>workshop</x:v>
      </x:c>
      <x:c r="G19" s="55" t="str">
        <x:v>machine/operation/vehicle scheduling or adaptive search</x:v>
      </x:c>
      <x:c r="H19" s="55" t="str">
        <x:v>jobs, operations, machines, AGVs</x:v>
      </x:c>
      <x:c r="I19" s="55" t="str">
        <x:v>Pending full-text extraction</x:v>
      </x:c>
      <x:c r="J19" s="55" t="str">
        <x:v>Pending full-text extraction</x:v>
      </x:c>
      <x:c r="K19" s="55" t="str">
        <x:v>Pending full-text extraction</x:v>
      </x:c>
      <x:c r="L19" s="55" t="str">
        <x:v>Pending full-text extraction</x:v>
      </x:c>
      <x:c r="M19" s="55" t="str">
        <x:v>workshop</x:v>
      </x:c>
      <x:c r="N19" s="55" t="str">
        <x:v>dynamic/online</x:v>
      </x:c>
      <x:c r="O19" s="55" t="str"/>
      <x:c r="P19" s="55" t="str"/>
      <x:c r="Q19" s="55" t="str"/>
      <x:c r="R19" s="55" t="str"/>
      <x:c r="S19" s="55" t="str"/>
      <x:c r="T19" s="55" t="str"/>
      <x:c r="U19" s="55" t="str">
        <x:v>machine–transport coupled</x:v>
      </x:c>
      <x:c r="V19" s="55" t="str">
        <x:v>scheduling/metaheuristic</x:v>
      </x:c>
      <x:c r="W19" s="55" t="str"/>
      <x:c r="X19" s="55" t="str">
        <x:v>Frozen-query match: S1; source queries: S6</x:v>
      </x:c>
      <x:c r="Y19" s="55" t="str"/>
      <x:c r="Z19" s="55" t="str"/>
      <x:c r="AA19" s="55" t="str"/>
      <x:c r="AB19" s="55" t="str"/>
      <x:c r="AC19" s="55" t="str"/>
      <x:c r="AD19" s="55" t="str"/>
      <x:c r="AE19" s="55" t="str"/>
      <x:c r="AF19" s="55" t="str"/>
      <x:c r="AG19" s="55" t="str"/>
      <x:c r="AH19" s="55" t="str"/>
      <x:c r="AI19" s="55" t="str"/>
      <x:c r="AJ19" s="55" t="str"/>
      <x:c r="AK19" s="55" t="str"/>
      <x:c r="AL19" s="55" t="str"/>
      <x:c r="AM19" s="55" t="str"/>
      <x:c r="AN19" s="55" t="str"/>
      <x:c r="AO19" s="55" t="str"/>
      <x:c r="AP19" s="55" t="str"/>
      <x:c r="AQ19" s="55" t="str"/>
      <x:c r="AR19" s="55" t="str"/>
      <x:c r="AS19" s="55" t="str"/>
      <x:c r="AT19" s="55" t="str">
        <x:v>Automated guided vehicles (AGVs) have become essential for job transportation amid the rise of automated manufacturing. However, space constraints in many workshops limit the storage capacity of machines. This study explores a scheduling problem for job shops considering insufficient machine buffers and AGVs (JSPIMBA). To formulate this problem, we designed a tailored disjunctive graph (TDG) that captures the features of JSPIMBA, explicitly modeling interactions and dependencies among processing, transportation, and buffer tasks. We then developed a mixed-integer linear programming (MILP) mode</x:v>
      </x:c>
      <x:c r="AU19" s="55" t="str">
        <x:v>No full-text direct evidence extracted in step 4.</x:v>
      </x:c>
      <x:c r="AV19" s="55" t="str">
        <x:v>Preliminary relevance inference: meets all concept groups for S1.</x:v>
      </x:c>
      <x:c r="AW19" s="55" t="str">
        <x:v>Title/abstract screening cannot establish implementation identity, novelty, or performance comparability.</x:v>
      </x:c>
      <x:c r="AX19" s="55" t="str">
        <x:v>Verify original full text, method details, experimental budget, and six comparability dimensions.</x:v>
      </x:c>
      <x:c r="AY19" s="55" t="str">
        <x:v>unresolved</x:v>
      </x:c>
      <x:c r="AZ19" s="55" t="str">
        <x:v>indirect</x:v>
      </x:c>
      <x:c r="BA19" s="55" t="str">
        <x:v>Title/abstract screened; full-text pending</x:v>
      </x:c>
      <x:c r="BB19" s="57">
        <x:f>IF(COUNTA(B19:BC19)=0,"",IF(A19="","MISSING ID",IFERROR(IF(AND(LEFT(A19,1)="L",ISNUMBER(SEARCH("-E",A19))),"OK","CHECK ID"),"CHECK ID")))</x:f>
      </x:c>
    </x:row>
    <x:row r="20" ht="48" customHeight="1">
      <x:c r="A20" s="51" t="str">
        <x:v>L001-E01</x:v>
      </x:c>
      <x:c r="B20" s="52" t="str">
        <x:v>L001</x:v>
      </x:c>
      <x:c r="C20" s="52" t="str">
        <x:v>OpenAlex-S6-seed S6; title+abstract</x:v>
      </x:c>
      <x:c r="D20" s="52" t="str">
        <x:v>Database abstract available</x:v>
      </x:c>
      <x:c r="E20" s="52" t="str">
        <x:v>machine–AGV joint scheduling</x:v>
      </x:c>
      <x:c r="F20" s="52" t="str">
        <x:v>workshop</x:v>
      </x:c>
      <x:c r="G20" s="52" t="str">
        <x:v>machine/operation/vehicle scheduling or adaptive search</x:v>
      </x:c>
      <x:c r="H20" s="52" t="str">
        <x:v>jobs, operations, machines, AGVs</x:v>
      </x:c>
      <x:c r="I20" s="52" t="str">
        <x:v>Pending full-text extraction</x:v>
      </x:c>
      <x:c r="J20" s="52" t="str">
        <x:v>Pending full-text extraction</x:v>
      </x:c>
      <x:c r="K20" s="52" t="str">
        <x:v>Pending full-text extraction</x:v>
      </x:c>
      <x:c r="L20" s="52" t="str">
        <x:v>Pending full-text extraction</x:v>
      </x:c>
      <x:c r="M20" s="52" t="str">
        <x:v>workshop</x:v>
      </x:c>
      <x:c r="N20" s="52" t="str">
        <x:v>dynamic/online</x:v>
      </x:c>
      <x:c r="O20" s="52" t="str"/>
      <x:c r="P20" s="52" t="str"/>
      <x:c r="Q20" s="52" t="str"/>
      <x:c r="R20" s="52" t="str"/>
      <x:c r="S20" s="52" t="str"/>
      <x:c r="T20" s="52" t="str"/>
      <x:c r="U20" s="52" t="str">
        <x:v>machine–transport coupled</x:v>
      </x:c>
      <x:c r="V20" s="52" t="str">
        <x:v>scheduling/metaheuristic</x:v>
      </x:c>
      <x:c r="W20" s="52" t="str"/>
      <x:c r="X20" s="52" t="str">
        <x:v>Frozen-query match: S1; source queries: S6</x:v>
      </x:c>
      <x:c r="Y20" s="52" t="str"/>
      <x:c r="Z20" s="52" t="str"/>
      <x:c r="AA20" s="52" t="str"/>
      <x:c r="AB20" s="52" t="str"/>
      <x:c r="AC20" s="52" t="str"/>
      <x:c r="AD20" s="52" t="str"/>
      <x:c r="AE20" s="52" t="str"/>
      <x:c r="AF20" s="52" t="str"/>
      <x:c r="AG20" s="52" t="str"/>
      <x:c r="AH20" s="52" t="str"/>
      <x:c r="AI20" s="52" t="str"/>
      <x:c r="AJ20" s="52" t="str"/>
      <x:c r="AK20" s="52" t="str"/>
      <x:c r="AL20" s="52" t="str"/>
      <x:c r="AM20" s="52" t="str"/>
      <x:c r="AN20" s="52" t="str"/>
      <x:c r="AO20" s="52" t="str"/>
      <x:c r="AP20" s="52" t="str"/>
      <x:c r="AQ20" s="52" t="str"/>
      <x:c r="AR20" s="52" t="str"/>
      <x:c r="AS20" s="52" t="str"/>
      <x:c r="AT20" s="52" t="str">
        <x:v>With the widespread adoption of intelligent transportation equipment such as AGVs in the manufacturing field, the flexible job shop scheduling considering limited transportation resources has increasingly attracted attention. However, current research does not consider various dynamic disturbances in real production scenarios, resulting in lower executability of scheduling solutions. To solve this problem, a dynamic flexible job shop scheduling model with limited transportation resources is established, aiming to minimize makespan and total energy consumption . Considering three types of distu</x:v>
      </x:c>
      <x:c r="AU20" s="52" t="str">
        <x:v>No full-text direct evidence extracted in step 4.</x:v>
      </x:c>
      <x:c r="AV20" s="52" t="str">
        <x:v>Preliminary relevance inference: S6 designated seed.</x:v>
      </x:c>
      <x:c r="AW20" s="52" t="str">
        <x:v>Title/abstract screening cannot establish implementation identity, novelty, or performance comparability.</x:v>
      </x:c>
      <x:c r="AX20" s="52" t="str">
        <x:v>Verify original full text, method details, experimental budget, and six comparability dimensions.</x:v>
      </x:c>
      <x:c r="AY20" s="52" t="str">
        <x:v>unresolved</x:v>
      </x:c>
      <x:c r="AZ20" s="52" t="str">
        <x:v>indirect</x:v>
      </x:c>
      <x:c r="BA20" s="52" t="str">
        <x:v>Title/abstract screened; full-text pending</x:v>
      </x:c>
      <x:c r="BB20" s="50">
        <x:f>IF(COUNTA(B20:BC20)=0,"",IF(A20="","MISSING ID",IFERROR(IF(AND(LEFT(A20,1)="L",ISNUMBER(SEARCH("-E",A20))),"OK","CHECK ID"),"CHECK ID")))</x:f>
      </x:c>
    </x:row>
    <x:row r="21" ht="48" customHeight="1">
      <x:c r="A21" s="54" t="str">
        <x:v>L046-E01</x:v>
      </x:c>
      <x:c r="B21" s="55" t="str">
        <x:v>L046</x:v>
      </x:c>
      <x:c r="C21" s="55" t="str">
        <x:v>OpenAlex+OpenAlex-S6-trace S1,S2,S6; title+metadata</x:v>
      </x:c>
      <x:c r="D21" s="55" t="str">
        <x:v>Abstract unavailable</x:v>
      </x:c>
      <x:c r="E21" s="55" t="str">
        <x:v>machine–AGV joint scheduling</x:v>
      </x:c>
      <x:c r="F21" s="55" t="str">
        <x:v>workshop</x:v>
      </x:c>
      <x:c r="G21" s="55" t="str">
        <x:v>machine/operation/vehicle scheduling or adaptive search</x:v>
      </x:c>
      <x:c r="H21" s="55" t="str">
        <x:v>jobs, operations, machines, AGVs</x:v>
      </x:c>
      <x:c r="I21" s="55" t="str">
        <x:v>Pending full-text extraction</x:v>
      </x:c>
      <x:c r="J21" s="55" t="str">
        <x:v>Pending full-text extraction</x:v>
      </x:c>
      <x:c r="K21" s="55" t="str">
        <x:v>Pending full-text extraction</x:v>
      </x:c>
      <x:c r="L21" s="55" t="str">
        <x:v>Pending full-text extraction</x:v>
      </x:c>
      <x:c r="M21" s="55" t="str">
        <x:v>workshop</x:v>
      </x:c>
      <x:c r="N21" s="55" t="str">
        <x:v>static/offline or not stated</x:v>
      </x:c>
      <x:c r="O21" s="55" t="str"/>
      <x:c r="P21" s="55" t="str"/>
      <x:c r="Q21" s="55" t="str"/>
      <x:c r="R21" s="55" t="str"/>
      <x:c r="S21" s="55" t="str"/>
      <x:c r="T21" s="55" t="str"/>
      <x:c r="U21" s="55" t="str">
        <x:v>machine–transport coupled</x:v>
      </x:c>
      <x:c r="V21" s="55" t="str">
        <x:v>scheduling/metaheuristic</x:v>
      </x:c>
      <x:c r="W21" s="55" t="str"/>
      <x:c r="X21" s="55" t="str">
        <x:v>Frozen-query match: S1; source queries: S1,S2,S6</x:v>
      </x:c>
      <x:c r="Y21" s="55" t="str"/>
      <x:c r="Z21" s="55" t="str"/>
      <x:c r="AA21" s="55" t="str"/>
      <x:c r="AB21" s="55" t="str"/>
      <x:c r="AC21" s="55" t="str"/>
      <x:c r="AD21" s="55" t="str"/>
      <x:c r="AE21" s="55" t="str"/>
      <x:c r="AF21" s="55" t="str"/>
      <x:c r="AG21" s="55" t="str"/>
      <x:c r="AH21" s="55" t="str"/>
      <x:c r="AI21" s="55" t="str"/>
      <x:c r="AJ21" s="55" t="str"/>
      <x:c r="AK21" s="55" t="str"/>
      <x:c r="AL21" s="55" t="str"/>
      <x:c r="AM21" s="55" t="str"/>
      <x:c r="AN21" s="55" t="str"/>
      <x:c r="AO21" s="55" t="str"/>
      <x:c r="AP21" s="55" t="str"/>
      <x:c r="AQ21" s="55" t="str"/>
      <x:c r="AR21" s="55" t="str"/>
      <x:c r="AS21" s="55" t="str"/>
      <x:c r="AT21" s="55" t="str">
        <x:v>No abstract retrieved; no author conclusion extracted.</x:v>
      </x:c>
      <x:c r="AU21" s="55" t="str">
        <x:v>No full-text direct evidence extracted in step 4.</x:v>
      </x:c>
      <x:c r="AV21" s="55" t="str">
        <x:v>Preliminary relevance inference: meets all concept groups for S1.</x:v>
      </x:c>
      <x:c r="AW21" s="55" t="str">
        <x:v>Title/abstract screening cannot establish implementation identity, novelty, or performance comparability.</x:v>
      </x:c>
      <x:c r="AX21" s="55" t="str">
        <x:v>Verify original full text, method details, experimental budget, and six comparability dimensions.</x:v>
      </x:c>
      <x:c r="AY21" s="55" t="str">
        <x:v>unresolved</x:v>
      </x:c>
      <x:c r="AZ21" s="55" t="str">
        <x:v>indirect</x:v>
      </x:c>
      <x:c r="BA21" s="55" t="str">
        <x:v>Title/abstract screened; full-text pending</x:v>
      </x:c>
      <x:c r="BB21" s="57">
        <x:f>IF(COUNTA(B21:BC21)=0,"",IF(A21="","MISSING ID",IFERROR(IF(AND(LEFT(A21,1)="L",ISNUMBER(SEARCH("-E",A21))),"OK","CHECK ID"),"CHECK ID")))</x:f>
      </x:c>
    </x:row>
    <x:row r="22" ht="48" customHeight="1">
      <x:c r="A22" s="51" t="str">
        <x:v>L047-E01</x:v>
      </x:c>
      <x:c r="B22" s="52" t="str">
        <x:v>L047</x:v>
      </x:c>
      <x:c r="C22" s="52" t="str">
        <x:v>OpenAlex S1,S5; title+abstract</x:v>
      </x:c>
      <x:c r="D22" s="52" t="str">
        <x:v>Database abstract available</x:v>
      </x:c>
      <x:c r="E22" s="52" t="str">
        <x:v>machine–AGV joint scheduling</x:v>
      </x:c>
      <x:c r="F22" s="52" t="str">
        <x:v>workshop</x:v>
      </x:c>
      <x:c r="G22" s="52" t="str">
        <x:v>machine/operation/vehicle scheduling or adaptive search</x:v>
      </x:c>
      <x:c r="H22" s="52" t="str">
        <x:v>jobs, operations, machines, AGVs</x:v>
      </x:c>
      <x:c r="I22" s="52" t="str">
        <x:v>Pending full-text extraction</x:v>
      </x:c>
      <x:c r="J22" s="52" t="str">
        <x:v>Pending full-text extraction</x:v>
      </x:c>
      <x:c r="K22" s="52" t="str">
        <x:v>Pending full-text extraction</x:v>
      </x:c>
      <x:c r="L22" s="52" t="str">
        <x:v>Pending full-text extraction</x:v>
      </x:c>
      <x:c r="M22" s="52" t="str">
        <x:v>workshop</x:v>
      </x:c>
      <x:c r="N22" s="52" t="str">
        <x:v>dynamic/online</x:v>
      </x:c>
      <x:c r="O22" s="52" t="str"/>
      <x:c r="P22" s="52" t="str"/>
      <x:c r="Q22" s="52" t="str"/>
      <x:c r="R22" s="52" t="str"/>
      <x:c r="S22" s="52" t="str"/>
      <x:c r="T22" s="52" t="str"/>
      <x:c r="U22" s="52" t="str">
        <x:v>machine–transport coupled</x:v>
      </x:c>
      <x:c r="V22" s="52" t="str">
        <x:v>scheduling/metaheuristic</x:v>
      </x:c>
      <x:c r="W22" s="52" t="str"/>
      <x:c r="X22" s="52" t="str">
        <x:v>Frozen-query match: S1; source queries: S1,S5</x:v>
      </x:c>
      <x:c r="Y22" s="52" t="str"/>
      <x:c r="Z22" s="52" t="str"/>
      <x:c r="AA22" s="52" t="str"/>
      <x:c r="AB22" s="52" t="str"/>
      <x:c r="AC22" s="52" t="str"/>
      <x:c r="AD22" s="52" t="str"/>
      <x:c r="AE22" s="52" t="str"/>
      <x:c r="AF22" s="52" t="str"/>
      <x:c r="AG22" s="52" t="str"/>
      <x:c r="AH22" s="52" t="str"/>
      <x:c r="AI22" s="52" t="str"/>
      <x:c r="AJ22" s="52" t="str"/>
      <x:c r="AK22" s="52" t="str"/>
      <x:c r="AL22" s="52" t="str"/>
      <x:c r="AM22" s="52" t="str"/>
      <x:c r="AN22" s="52" t="str"/>
      <x:c r="AO22" s="52" t="str"/>
      <x:c r="AP22" s="52" t="str"/>
      <x:c r="AQ22" s="52" t="str"/>
      <x:c r="AR22" s="52" t="str"/>
      <x:c r="AS22" s="52" t="str"/>
      <x:c r="AT22" s="52" t="str">
        <x:v>The high-quality development of the manufacturing industry necessitates accelerating its transformation towards high-end, intelligent, and green development. Considering logistics resource constraints, the impact of dynamic disturbance events on production, and the need for energy-efficient production, the integrated scheduling of production equipment and automated guided vehicles (AGVs) in a flexible job shop environment is investigated in this study. Firstly, a static model for the integrated scheduling of production equipment and AGVs (ISPEA) is developed based on mixed-integer programming,</x:v>
      </x:c>
      <x:c r="AU22" s="52" t="str">
        <x:v>No full-text direct evidence extracted in step 4.</x:v>
      </x:c>
      <x:c r="AV22" s="52" t="str">
        <x:v>Preliminary relevance inference: meets all concept groups for S1.</x:v>
      </x:c>
      <x:c r="AW22" s="52" t="str">
        <x:v>Title/abstract screening cannot establish implementation identity, novelty, or performance comparability.</x:v>
      </x:c>
      <x:c r="AX22" s="52" t="str">
        <x:v>Verify original full text, method details, experimental budget, and six comparability dimensions.</x:v>
      </x:c>
      <x:c r="AY22" s="52" t="str">
        <x:v>unresolved</x:v>
      </x:c>
      <x:c r="AZ22" s="52" t="str">
        <x:v>indirect</x:v>
      </x:c>
      <x:c r="BA22" s="52" t="str">
        <x:v>Title/abstract screened; full-text pending</x:v>
      </x:c>
      <x:c r="BB22" s="50">
        <x:f>IF(COUNTA(B22:BC22)=0,"",IF(A22="","MISSING ID",IFERROR(IF(AND(LEFT(A22,1)="L",ISNUMBER(SEARCH("-E",A22))),"OK","CHECK ID"),"CHECK ID")))</x:f>
      </x:c>
    </x:row>
    <x:row r="23" ht="48" customHeight="1">
      <x:c r="A23" s="54" t="str">
        <x:v>L027-E01</x:v>
      </x:c>
      <x:c r="B23" s="55" t="str">
        <x:v>L027</x:v>
      </x:c>
      <x:c r="C23" s="55" t="str">
        <x:v>OpenAlex S1,S5; title+abstract</x:v>
      </x:c>
      <x:c r="D23" s="55" t="str">
        <x:v>Database abstract available</x:v>
      </x:c>
      <x:c r="E23" s="55" t="str">
        <x:v>machine–AGV joint scheduling</x:v>
      </x:c>
      <x:c r="F23" s="55" t="str">
        <x:v>workshop</x:v>
      </x:c>
      <x:c r="G23" s="55" t="str">
        <x:v>machine/operation/vehicle scheduling or adaptive search</x:v>
      </x:c>
      <x:c r="H23" s="55" t="str">
        <x:v>jobs, operations, machines, AGVs</x:v>
      </x:c>
      <x:c r="I23" s="55" t="str">
        <x:v>Pending full-text extraction</x:v>
      </x:c>
      <x:c r="J23" s="55" t="str">
        <x:v>Pending full-text extraction</x:v>
      </x:c>
      <x:c r="K23" s="55" t="str">
        <x:v>Pending full-text extraction</x:v>
      </x:c>
      <x:c r="L23" s="55" t="str">
        <x:v>Pending full-text extraction</x:v>
      </x:c>
      <x:c r="M23" s="55" t="str">
        <x:v>workshop</x:v>
      </x:c>
      <x:c r="N23" s="55" t="str">
        <x:v>dynamic/online</x:v>
      </x:c>
      <x:c r="O23" s="55" t="str"/>
      <x:c r="P23" s="55" t="str"/>
      <x:c r="Q23" s="55" t="str"/>
      <x:c r="R23" s="55" t="str"/>
      <x:c r="S23" s="55" t="str"/>
      <x:c r="T23" s="55" t="str"/>
      <x:c r="U23" s="55" t="str">
        <x:v>machine–transport coupled</x:v>
      </x:c>
      <x:c r="V23" s="55" t="str">
        <x:v>scheduling/metaheuristic</x:v>
      </x:c>
      <x:c r="W23" s="55" t="str"/>
      <x:c r="X23" s="55" t="str">
        <x:v>Frozen-query match: S1; source queries: S1,S5</x:v>
      </x:c>
      <x:c r="Y23" s="55" t="str"/>
      <x:c r="Z23" s="55" t="str"/>
      <x:c r="AA23" s="55" t="str"/>
      <x:c r="AB23" s="55" t="str"/>
      <x:c r="AC23" s="55" t="str"/>
      <x:c r="AD23" s="55" t="str"/>
      <x:c r="AE23" s="55" t="str"/>
      <x:c r="AF23" s="55" t="str"/>
      <x:c r="AG23" s="55" t="str"/>
      <x:c r="AH23" s="55" t="str"/>
      <x:c r="AI23" s="55" t="str"/>
      <x:c r="AJ23" s="55" t="str"/>
      <x:c r="AK23" s="55" t="str"/>
      <x:c r="AL23" s="55" t="str"/>
      <x:c r="AM23" s="55" t="str"/>
      <x:c r="AN23" s="55" t="str"/>
      <x:c r="AO23" s="55" t="str"/>
      <x:c r="AP23" s="55" t="str"/>
      <x:c r="AQ23" s="55" t="str"/>
      <x:c r="AR23" s="55" t="str"/>
      <x:c r="AS23" s="55" t="str"/>
      <x:c r="AT23" s="55" t="str">
        <x:v>This paper investigates the Dynamic Flexible Job Shop Scheduling Problem (DFJSP), which is based on new job insertion, machine breakdowns, changes in processing time, and considering the state of Automated Guided Vehicles (AGVs). The objective is to minimize the maximum completion time and improve on-time completion rates. To address the continuous production status and learn the most suitable actions (scheduling rules) at each rescheduling point, a Dueling Double Deep Q Network (D3QN) is developed to solve this problem. To improve the quality of the model solutions, a MachineRank algorithm (M</x:v>
      </x:c>
      <x:c r="AU23" s="55" t="str">
        <x:v>No full-text direct evidence extracted in step 4.</x:v>
      </x:c>
      <x:c r="AV23" s="55" t="str">
        <x:v>Preliminary relevance inference: meets all concept groups for S1.</x:v>
      </x:c>
      <x:c r="AW23" s="55" t="str">
        <x:v>Title/abstract screening cannot establish implementation identity, novelty, or performance comparability.</x:v>
      </x:c>
      <x:c r="AX23" s="55" t="str">
        <x:v>Verify original full text, method details, experimental budget, and six comparability dimensions.</x:v>
      </x:c>
      <x:c r="AY23" s="55" t="str">
        <x:v>unresolved</x:v>
      </x:c>
      <x:c r="AZ23" s="55" t="str">
        <x:v>indirect</x:v>
      </x:c>
      <x:c r="BA23" s="55" t="str">
        <x:v>Title/abstract screened; full-text pending</x:v>
      </x:c>
      <x:c r="BB23" s="57">
        <x:f>IF(COUNTA(B23:BC23)=0,"",IF(A23="","MISSING ID",IFERROR(IF(AND(LEFT(A23,1)="L",ISNUMBER(SEARCH("-E",A23))),"OK","CHECK ID"),"CHECK ID")))</x:f>
      </x:c>
    </x:row>
    <x:row r="24" ht="48" customHeight="1">
      <x:c r="A24" s="59" t="str">
        <x:v>L048-E01</x:v>
      </x:c>
      <x:c r="B24" s="60" t="str">
        <x:v>L048</x:v>
      </x:c>
      <x:c r="C24" s="60" t="str">
        <x:v>arXiv S1; title+abstract</x:v>
      </x:c>
      <x:c r="D24" s="60" t="str">
        <x:v>Database abstract available</x:v>
      </x:c>
      <x:c r="E24" s="60" t="str">
        <x:v>machine–AGV joint scheduling</x:v>
      </x:c>
      <x:c r="F24" s="60" t="str">
        <x:v>workshop</x:v>
      </x:c>
      <x:c r="G24" s="60" t="str">
        <x:v>machine/operation/vehicle scheduling or adaptive search</x:v>
      </x:c>
      <x:c r="H24" s="60" t="str">
        <x:v>jobs, operations, machines, AGVs</x:v>
      </x:c>
      <x:c r="I24" s="60" t="str">
        <x:v>Pending full-text extraction</x:v>
      </x:c>
      <x:c r="J24" s="60" t="str">
        <x:v>Pending full-text extraction</x:v>
      </x:c>
      <x:c r="K24" s="60" t="str">
        <x:v>Pending full-text extraction</x:v>
      </x:c>
      <x:c r="L24" s="60" t="str">
        <x:v>Pending full-text extraction</x:v>
      </x:c>
      <x:c r="M24" s="60" t="str">
        <x:v>workshop</x:v>
      </x:c>
      <x:c r="N24" s="60" t="str">
        <x:v>static/offline or not stated</x:v>
      </x:c>
      <x:c r="O24" s="60" t="str"/>
      <x:c r="P24" s="60" t="str"/>
      <x:c r="Q24" s="60" t="str"/>
      <x:c r="R24" s="60" t="str"/>
      <x:c r="S24" s="60" t="str"/>
      <x:c r="T24" s="60" t="str"/>
      <x:c r="U24" s="60" t="str">
        <x:v>machine–transport coupled</x:v>
      </x:c>
      <x:c r="V24" s="60" t="str">
        <x:v>scheduling/metaheuristic</x:v>
      </x:c>
      <x:c r="W24" s="60" t="str"/>
      <x:c r="X24" s="60" t="str">
        <x:v>Frozen-query match: S1; source queries: S1</x:v>
      </x:c>
      <x:c r="Y24" s="60" t="str"/>
      <x:c r="Z24" s="60" t="str"/>
      <x:c r="AA24" s="60" t="str"/>
      <x:c r="AB24" s="60" t="str"/>
      <x:c r="AC24" s="60" t="str"/>
      <x:c r="AD24" s="60" t="str"/>
      <x:c r="AE24" s="60" t="str"/>
      <x:c r="AF24" s="60" t="str"/>
      <x:c r="AG24" s="60" t="str"/>
      <x:c r="AH24" s="60" t="str"/>
      <x:c r="AI24" s="60" t="str"/>
      <x:c r="AJ24" s="60" t="str"/>
      <x:c r="AK24" s="60" t="str"/>
      <x:c r="AL24" s="60" t="str"/>
      <x:c r="AM24" s="60" t="str"/>
      <x:c r="AN24" s="60" t="str"/>
      <x:c r="AO24" s="60" t="str"/>
      <x:c r="AP24" s="60" t="str"/>
      <x:c r="AQ24" s="60" t="str"/>
      <x:c r="AR24" s="60" t="str"/>
      <x:c r="AS24" s="60" t="str"/>
      <x:c r="AT24" s="60" t="str">
        <x:v>In smart manufacturing systems (SMSs), flexible job-shop scheduling with transportation constraints (FJSPT) is essential to optimize solutions for maximizing productivity, considering production flexibility based on automated guided vehicles (AGVs). Recent developments in deep reinforcement learning (DRL)-based methods for FJSPT have encountered a scale generalization challenge. These methods underperform when applied to environment at scales different from their training set, resulting in low-quality solutions. To address this, we introduce a novel graph-based DRL method, named the Heterogene</x:v>
      </x:c>
      <x:c r="AU24" s="60" t="str">
        <x:v>No full-text direct evidence extracted in step 4.</x:v>
      </x:c>
      <x:c r="AV24" s="60" t="str">
        <x:v>Preliminary relevance inference: meets all concept groups for S1.</x:v>
      </x:c>
      <x:c r="AW24" s="60" t="str">
        <x:v>Title/abstract screening cannot establish implementation identity, novelty, or performance comparability.</x:v>
      </x:c>
      <x:c r="AX24" s="60" t="str">
        <x:v>Verify original full text, method details, experimental budget, and six comparability dimensions.</x:v>
      </x:c>
      <x:c r="AY24" s="60" t="str">
        <x:v>unresolved</x:v>
      </x:c>
      <x:c r="AZ24" s="60" t="str">
        <x:v>indirect</x:v>
      </x:c>
      <x:c r="BA24" s="60" t="str">
        <x:v>Title/abstract screened; full-text pending</x:v>
      </x:c>
      <x:c r="BB24" s="61">
        <x:f>IF(COUNTA(B24:BC24)=0,"",IF(A24="","MISSING ID",IFERROR(IF(AND(LEFT(A24,1)="L",ISNUMBER(SEARCH("-E",A24))),"OK","CHECK ID"),"CHECK ID")))</x:f>
      </x:c>
    </x:row>
    <x:row r="25" ht="48" customHeight="1">
      <x:c r="A25" s="63" t="str">
        <x:v>L049-E01</x:v>
      </x:c>
      <x:c r="B25" s="63" t="str">
        <x:v>L049</x:v>
      </x:c>
      <x:c r="C25" s="63" t="str">
        <x:v>OpenAlex-S6-trace S6; title+metadata</x:v>
      </x:c>
      <x:c r="D25" s="63" t="str">
        <x:v>Abstract unavailable</x:v>
      </x:c>
      <x:c r="E25" s="63" t="str">
        <x:v>machine–AGV joint scheduling</x:v>
      </x:c>
      <x:c r="F25" s="63" t="str">
        <x:v>workshop</x:v>
      </x:c>
      <x:c r="G25" s="63" t="str">
        <x:v>machine/operation/vehicle scheduling or adaptive search</x:v>
      </x:c>
      <x:c r="H25" s="63" t="str">
        <x:v>jobs, operations, machines, AGVs</x:v>
      </x:c>
      <x:c r="I25" s="63" t="str">
        <x:v>Pending full-text extraction</x:v>
      </x:c>
      <x:c r="J25" s="63" t="str">
        <x:v>Pending full-text extraction</x:v>
      </x:c>
      <x:c r="K25" s="63" t="str">
        <x:v>Pending full-text extraction</x:v>
      </x:c>
      <x:c r="L25" s="63" t="str">
        <x:v>Pending full-text extraction</x:v>
      </x:c>
      <x:c r="M25" s="63" t="str">
        <x:v>workshop</x:v>
      </x:c>
      <x:c r="N25" s="63" t="str">
        <x:v>dynamic/online</x:v>
      </x:c>
      <x:c r="O25" s="63" t="str"/>
      <x:c r="P25" s="63" t="str"/>
      <x:c r="Q25" s="63" t="str"/>
      <x:c r="R25" s="63" t="str"/>
      <x:c r="S25" s="63" t="str"/>
      <x:c r="T25" s="63" t="str"/>
      <x:c r="U25" s="63" t="str">
        <x:v>machine–transport coupled</x:v>
      </x:c>
      <x:c r="V25" s="63" t="str">
        <x:v>scheduling/metaheuristic</x:v>
      </x:c>
      <x:c r="W25" s="63" t="str"/>
      <x:c r="X25" s="63" t="str">
        <x:v>Frozen-query match: S1; source queries: S6</x:v>
      </x:c>
      <x:c r="Y25" s="63" t="str"/>
      <x:c r="Z25" s="63" t="str"/>
      <x:c r="AA25" s="63" t="str"/>
      <x:c r="AB25" s="63" t="str"/>
      <x:c r="AC25" s="63" t="str"/>
      <x:c r="AD25" s="63" t="str"/>
      <x:c r="AE25" s="63" t="str"/>
      <x:c r="AF25" s="63" t="str"/>
      <x:c r="AG25" s="63" t="str"/>
      <x:c r="AH25" s="63" t="str"/>
      <x:c r="AI25" s="63" t="str"/>
      <x:c r="AJ25" s="63" t="str"/>
      <x:c r="AK25" s="63" t="str"/>
      <x:c r="AL25" s="63" t="str"/>
      <x:c r="AM25" s="63" t="str"/>
      <x:c r="AN25" s="63" t="str"/>
      <x:c r="AO25" s="63" t="str"/>
      <x:c r="AP25" s="63" t="str"/>
      <x:c r="AQ25" s="63" t="str"/>
      <x:c r="AR25" s="63" t="str"/>
      <x:c r="AS25" s="63" t="str"/>
      <x:c r="AT25" s="63" t="str">
        <x:v>No abstract retrieved; no author conclusion extracted.</x:v>
      </x:c>
      <x:c r="AU25" s="63" t="str">
        <x:v>No full-text direct evidence extracted in step 4.</x:v>
      </x:c>
      <x:c r="AV25" s="63" t="str">
        <x:v>Preliminary relevance inference: meets all concept groups for S1.</x:v>
      </x:c>
      <x:c r="AW25" s="63" t="str">
        <x:v>Title/abstract screening cannot establish implementation identity, novelty, or performance comparability.</x:v>
      </x:c>
      <x:c r="AX25" s="63" t="str">
        <x:v>Verify original full text, method details, experimental budget, and six comparability dimensions.</x:v>
      </x:c>
      <x:c r="AY25" s="63" t="str">
        <x:v>unresolved</x:v>
      </x:c>
      <x:c r="AZ25" s="63" t="str">
        <x:v>indirect</x:v>
      </x:c>
      <x:c r="BA25" s="63" t="str">
        <x:v>Title/abstract screened; full-text pending</x:v>
      </x:c>
      <x:c r="BB25" s="63">
        <x:f>IF(COUNTA(B25:BC25)=0,"",IF(A25="","MISSING ID",IFERROR(IF(AND(LEFT(A25,1)="L",ISNUMBER(SEARCH("-E",A25))),"OK","CHECK ID"),"CHECK ID")))</x:f>
      </x:c>
    </x:row>
    <x:row r="26" ht="48" customHeight="1">
      <x:c r="A26" s="62" t="str">
        <x:v>L050-E01</x:v>
      </x:c>
      <x:c r="B26" s="62" t="str">
        <x:v>L050</x:v>
      </x:c>
      <x:c r="C26" s="62" t="str">
        <x:v>OpenAlex S1; title+metadata</x:v>
      </x:c>
      <x:c r="D26" s="62" t="str">
        <x:v>Abstract unavailable</x:v>
      </x:c>
      <x:c r="E26" s="62" t="str">
        <x:v>machine–AGV joint scheduling</x:v>
      </x:c>
      <x:c r="F26" s="62" t="str">
        <x:v>workshop</x:v>
      </x:c>
      <x:c r="G26" s="62" t="str">
        <x:v>machine/operation/vehicle scheduling or adaptive search</x:v>
      </x:c>
      <x:c r="H26" s="62" t="str">
        <x:v>jobs, operations, machines, AGVs</x:v>
      </x:c>
      <x:c r="I26" s="62" t="str">
        <x:v>Pending full-text extraction</x:v>
      </x:c>
      <x:c r="J26" s="62" t="str">
        <x:v>Pending full-text extraction</x:v>
      </x:c>
      <x:c r="K26" s="62" t="str">
        <x:v>Pending full-text extraction</x:v>
      </x:c>
      <x:c r="L26" s="62" t="str">
        <x:v>Pending full-text extraction</x:v>
      </x:c>
      <x:c r="M26" s="62" t="str">
        <x:v>workshop</x:v>
      </x:c>
      <x:c r="N26" s="62" t="str">
        <x:v>dynamic/online</x:v>
      </x:c>
      <x:c r="O26" s="62" t="str"/>
      <x:c r="P26" s="62" t="str"/>
      <x:c r="Q26" s="62" t="str"/>
      <x:c r="R26" s="62" t="str"/>
      <x:c r="S26" s="62" t="str"/>
      <x:c r="T26" s="62" t="str"/>
      <x:c r="U26" s="62" t="str">
        <x:v>machine–transport coupled</x:v>
      </x:c>
      <x:c r="V26" s="62" t="str">
        <x:v>scheduling/metaheuristic</x:v>
      </x:c>
      <x:c r="W26" s="62" t="str"/>
      <x:c r="X26" s="62" t="str">
        <x:v>Frozen-query match: S1; source queries: S1</x:v>
      </x:c>
      <x:c r="Y26" s="62" t="str"/>
      <x:c r="Z26" s="62" t="str"/>
      <x:c r="AA26" s="62" t="str"/>
      <x:c r="AB26" s="62" t="str"/>
      <x:c r="AC26" s="62" t="str"/>
      <x:c r="AD26" s="62" t="str"/>
      <x:c r="AE26" s="62" t="str"/>
      <x:c r="AF26" s="62" t="str"/>
      <x:c r="AG26" s="62" t="str"/>
      <x:c r="AH26" s="62" t="str"/>
      <x:c r="AI26" s="62" t="str"/>
      <x:c r="AJ26" s="62" t="str"/>
      <x:c r="AK26" s="62" t="str"/>
      <x:c r="AL26" s="62" t="str"/>
      <x:c r="AM26" s="62" t="str"/>
      <x:c r="AN26" s="62" t="str"/>
      <x:c r="AO26" s="62" t="str"/>
      <x:c r="AP26" s="62" t="str"/>
      <x:c r="AQ26" s="62" t="str"/>
      <x:c r="AR26" s="62" t="str"/>
      <x:c r="AS26" s="62" t="str"/>
      <x:c r="AT26" s="62" t="str">
        <x:v>No abstract retrieved; no author conclusion extracted.</x:v>
      </x:c>
      <x:c r="AU26" s="62" t="str">
        <x:v>No full-text direct evidence extracted in step 4.</x:v>
      </x:c>
      <x:c r="AV26" s="62" t="str">
        <x:v>Preliminary relevance inference: meets all concept groups for S1.</x:v>
      </x:c>
      <x:c r="AW26" s="62" t="str">
        <x:v>Title/abstract screening cannot establish implementation identity, novelty, or performance comparability.</x:v>
      </x:c>
      <x:c r="AX26" s="62" t="str">
        <x:v>Verify original full text, method details, experimental budget, and six comparability dimensions.</x:v>
      </x:c>
      <x:c r="AY26" s="62" t="str">
        <x:v>unresolved</x:v>
      </x:c>
      <x:c r="AZ26" s="62" t="str">
        <x:v>indirect</x:v>
      </x:c>
      <x:c r="BA26" s="62" t="str">
        <x:v>Title/abstract screened; full-text pending</x:v>
      </x:c>
      <x:c r="BB26" s="62">
        <x:f>IF(COUNTA(B26:BC26)=0,"",IF(A26="","MISSING ID",IFERROR(IF(AND(LEFT(A26,1)="L",ISNUMBER(SEARCH("-E",A26))),"OK","CHECK ID"),"CHECK ID")))</x:f>
      </x:c>
    </x:row>
    <x:row r="27" ht="48" customHeight="1">
      <x:c r="A27" s="63" t="str">
        <x:v>L051-E01</x:v>
      </x:c>
      <x:c r="B27" s="63" t="str">
        <x:v>L051</x:v>
      </x:c>
      <x:c r="C27" s="63" t="str">
        <x:v>OpenAlex S1; title+abstract</x:v>
      </x:c>
      <x:c r="D27" s="63" t="str">
        <x:v>Database abstract available</x:v>
      </x:c>
      <x:c r="E27" s="63" t="str">
        <x:v>machine–AGV joint scheduling</x:v>
      </x:c>
      <x:c r="F27" s="63" t="str">
        <x:v>workshop</x:v>
      </x:c>
      <x:c r="G27" s="63" t="str">
        <x:v>machine/operation/vehicle scheduling or adaptive search</x:v>
      </x:c>
      <x:c r="H27" s="63" t="str">
        <x:v>jobs, operations, machines, AGVs</x:v>
      </x:c>
      <x:c r="I27" s="63" t="str">
        <x:v>Pending full-text extraction</x:v>
      </x:c>
      <x:c r="J27" s="63" t="str">
        <x:v>Pending full-text extraction</x:v>
      </x:c>
      <x:c r="K27" s="63" t="str">
        <x:v>Pending full-text extraction</x:v>
      </x:c>
      <x:c r="L27" s="63" t="str">
        <x:v>Pending full-text extraction</x:v>
      </x:c>
      <x:c r="M27" s="63" t="str">
        <x:v>workshop</x:v>
      </x:c>
      <x:c r="N27" s="63" t="str">
        <x:v>static/offline or not stated</x:v>
      </x:c>
      <x:c r="O27" s="63" t="str"/>
      <x:c r="P27" s="63" t="str"/>
      <x:c r="Q27" s="63" t="str"/>
      <x:c r="R27" s="63" t="str"/>
      <x:c r="S27" s="63" t="str"/>
      <x:c r="T27" s="63" t="str"/>
      <x:c r="U27" s="63" t="str">
        <x:v>machine–transport coupled</x:v>
      </x:c>
      <x:c r="V27" s="63" t="str">
        <x:v>scheduling/metaheuristic</x:v>
      </x:c>
      <x:c r="W27" s="63" t="str"/>
      <x:c r="X27" s="63" t="str">
        <x:v>Frozen-query match: S1; source queries: S1</x:v>
      </x:c>
      <x:c r="Y27" s="63" t="str"/>
      <x:c r="Z27" s="63" t="str"/>
      <x:c r="AA27" s="63" t="str"/>
      <x:c r="AB27" s="63" t="str"/>
      <x:c r="AC27" s="63" t="str"/>
      <x:c r="AD27" s="63" t="str"/>
      <x:c r="AE27" s="63" t="str"/>
      <x:c r="AF27" s="63" t="str"/>
      <x:c r="AG27" s="63" t="str"/>
      <x:c r="AH27" s="63" t="str"/>
      <x:c r="AI27" s="63" t="str"/>
      <x:c r="AJ27" s="63" t="str"/>
      <x:c r="AK27" s="63" t="str"/>
      <x:c r="AL27" s="63" t="str"/>
      <x:c r="AM27" s="63" t="str"/>
      <x:c r="AN27" s="63" t="str"/>
      <x:c r="AO27" s="63" t="str"/>
      <x:c r="AP27" s="63" t="str"/>
      <x:c r="AQ27" s="63" t="str"/>
      <x:c r="AR27" s="63" t="str"/>
      <x:c r="AS27" s="63" t="str"/>
      <x:c r="AT27" s="63" t="str">
        <x:v>Recently, deep reinforcement learning (DRL) has been employed in flexible job-shop scheduling problems (FJSP) to minimize makespan within flexible manufacturing systems (FMS). In practice, numerous modern enterprises are incor-porating automated guided vehicles (AGV) into their FMS implementations. However, existing DRL-based FJSP solutions do not account for transportation constraints. To tackle this practical issue, we propose a novel graph-based DRL method, called Heterogeneous Job Scheduler (HJS), which interprets the environment status using the graph structure and then training the DRL m</x:v>
      </x:c>
      <x:c r="AU27" s="63" t="str">
        <x:v>No full-text direct evidence extracted in step 4.</x:v>
      </x:c>
      <x:c r="AV27" s="63" t="str">
        <x:v>Preliminary relevance inference: meets all concept groups for S1.</x:v>
      </x:c>
      <x:c r="AW27" s="63" t="str">
        <x:v>Title/abstract screening cannot establish implementation identity, novelty, or performance comparability.</x:v>
      </x:c>
      <x:c r="AX27" s="63" t="str">
        <x:v>Verify original full text, method details, experimental budget, and six comparability dimensions.</x:v>
      </x:c>
      <x:c r="AY27" s="63" t="str">
        <x:v>unresolved</x:v>
      </x:c>
      <x:c r="AZ27" s="63" t="str">
        <x:v>indirect</x:v>
      </x:c>
      <x:c r="BA27" s="63" t="str">
        <x:v>Title/abstract screened; full-text pending</x:v>
      </x:c>
      <x:c r="BB27" s="63">
        <x:f>IF(COUNTA(B27:BC27)=0,"",IF(A27="","MISSING ID",IFERROR(IF(AND(LEFT(A27,1)="L",ISNUMBER(SEARCH("-E",A27))),"OK","CHECK ID"),"CHECK ID")))</x:f>
      </x:c>
    </x:row>
    <x:row r="28" ht="48" customHeight="1">
      <x:c r="A28" s="62" t="str">
        <x:v>L052-E01</x:v>
      </x:c>
      <x:c r="B28" s="62" t="str">
        <x:v>L052</x:v>
      </x:c>
      <x:c r="C28" s="62" t="str">
        <x:v>OpenAlex+OpenAlex-S6-trace S1,S6; title+abstract</x:v>
      </x:c>
      <x:c r="D28" s="62" t="str">
        <x:v>Database abstract available</x:v>
      </x:c>
      <x:c r="E28" s="62" t="str">
        <x:v>machine–AGV joint scheduling</x:v>
      </x:c>
      <x:c r="F28" s="62" t="str">
        <x:v>workshop</x:v>
      </x:c>
      <x:c r="G28" s="62" t="str">
        <x:v>machine/operation/vehicle scheduling or adaptive search</x:v>
      </x:c>
      <x:c r="H28" s="62" t="str">
        <x:v>jobs, operations, machines, AGVs</x:v>
      </x:c>
      <x:c r="I28" s="62" t="str">
        <x:v>Pending full-text extraction</x:v>
      </x:c>
      <x:c r="J28" s="62" t="str">
        <x:v>Pending full-text extraction</x:v>
      </x:c>
      <x:c r="K28" s="62" t="str">
        <x:v>Pending full-text extraction</x:v>
      </x:c>
      <x:c r="L28" s="62" t="str">
        <x:v>Pending full-text extraction</x:v>
      </x:c>
      <x:c r="M28" s="62" t="str">
        <x:v>workshop</x:v>
      </x:c>
      <x:c r="N28" s="62" t="str">
        <x:v>static/offline or not stated</x:v>
      </x:c>
      <x:c r="O28" s="62" t="str"/>
      <x:c r="P28" s="62" t="str"/>
      <x:c r="Q28" s="62" t="str"/>
      <x:c r="R28" s="62" t="str"/>
      <x:c r="S28" s="62" t="str"/>
      <x:c r="T28" s="62" t="str"/>
      <x:c r="U28" s="62" t="str">
        <x:v>machine–transport coupled</x:v>
      </x:c>
      <x:c r="V28" s="62" t="str">
        <x:v>scheduling/metaheuristic</x:v>
      </x:c>
      <x:c r="W28" s="62" t="str"/>
      <x:c r="X28" s="62" t="str">
        <x:v>Frozen-query match: S1; source queries: S1,S6</x:v>
      </x:c>
      <x:c r="Y28" s="62" t="str"/>
      <x:c r="Z28" s="62" t="str"/>
      <x:c r="AA28" s="62" t="str"/>
      <x:c r="AB28" s="62" t="str"/>
      <x:c r="AC28" s="62" t="str"/>
      <x:c r="AD28" s="62" t="str"/>
      <x:c r="AE28" s="62" t="str"/>
      <x:c r="AF28" s="62" t="str"/>
      <x:c r="AG28" s="62" t="str"/>
      <x:c r="AH28" s="62" t="str"/>
      <x:c r="AI28" s="62" t="str"/>
      <x:c r="AJ28" s="62" t="str"/>
      <x:c r="AK28" s="62" t="str"/>
      <x:c r="AL28" s="62" t="str"/>
      <x:c r="AM28" s="62" t="str"/>
      <x:c r="AN28" s="62" t="str"/>
      <x:c r="AO28" s="62" t="str"/>
      <x:c r="AP28" s="62" t="str"/>
      <x:c r="AQ28" s="62" t="str"/>
      <x:c r="AR28" s="62" t="str"/>
      <x:c r="AS28" s="62" t="str"/>
      <x:c r="AT28" s="62" t="str">
        <x:v>In many practical manufacturing systems, transportation equipment such as automated guided vehicles (AGVs) is widely adopted to transfer jobs and realize the collaboration of different machines, but is often ignored in current researches. In this article, we address the flexible job shop scheduling problem with finite transportation resources (FJSP-Ts). Considering the difficulties caused by the introduction of transportation and the NP-hard nature, the evolutionary algorithm (EA) is adopted as a solution approach. To this end, a learning-based multipopulation evolutionary optimization (LMEO) </x:v>
      </x:c>
      <x:c r="AU28" s="62" t="str">
        <x:v>No full-text direct evidence extracted in step 4.</x:v>
      </x:c>
      <x:c r="AV28" s="62" t="str">
        <x:v>Preliminary relevance inference: meets all concept groups for S1.</x:v>
      </x:c>
      <x:c r="AW28" s="62" t="str">
        <x:v>Title/abstract screening cannot establish implementation identity, novelty, or performance comparability.</x:v>
      </x:c>
      <x:c r="AX28" s="62" t="str">
        <x:v>Verify original full text, method details, experimental budget, and six comparability dimensions.</x:v>
      </x:c>
      <x:c r="AY28" s="62" t="str">
        <x:v>unresolved</x:v>
      </x:c>
      <x:c r="AZ28" s="62" t="str">
        <x:v>indirect</x:v>
      </x:c>
      <x:c r="BA28" s="62" t="str">
        <x:v>Title/abstract screened; full-text pending</x:v>
      </x:c>
      <x:c r="BB28" s="62">
        <x:f>IF(COUNTA(B28:BC28)=0,"",IF(A28="","MISSING ID",IFERROR(IF(AND(LEFT(A28,1)="L",ISNUMBER(SEARCH("-E",A28))),"OK","CHECK ID"),"CHECK ID")))</x:f>
      </x:c>
    </x:row>
    <x:row r="29" ht="48" customHeight="1">
      <x:c r="A29" s="63" t="str">
        <x:v>L053-E01</x:v>
      </x:c>
      <x:c r="B29" s="63" t="str">
        <x:v>L053</x:v>
      </x:c>
      <x:c r="C29" s="63" t="str">
        <x:v>OpenAlex S1; title+abstract</x:v>
      </x:c>
      <x:c r="D29" s="63" t="str">
        <x:v>Database abstract available</x:v>
      </x:c>
      <x:c r="E29" s="63" t="str">
        <x:v>machine–AGV joint scheduling</x:v>
      </x:c>
      <x:c r="F29" s="63" t="str">
        <x:v>workshop</x:v>
      </x:c>
      <x:c r="G29" s="63" t="str">
        <x:v>machine/operation/vehicle scheduling or adaptive search</x:v>
      </x:c>
      <x:c r="H29" s="63" t="str">
        <x:v>jobs, operations, machines, AGVs</x:v>
      </x:c>
      <x:c r="I29" s="63" t="str">
        <x:v>Pending full-text extraction</x:v>
      </x:c>
      <x:c r="J29" s="63" t="str">
        <x:v>Pending full-text extraction</x:v>
      </x:c>
      <x:c r="K29" s="63" t="str">
        <x:v>Pending full-text extraction</x:v>
      </x:c>
      <x:c r="L29" s="63" t="str">
        <x:v>Pending full-text extraction</x:v>
      </x:c>
      <x:c r="M29" s="63" t="str">
        <x:v>workshop</x:v>
      </x:c>
      <x:c r="N29" s="63" t="str">
        <x:v>static/offline or not stated</x:v>
      </x:c>
      <x:c r="O29" s="63" t="str"/>
      <x:c r="P29" s="63" t="str"/>
      <x:c r="Q29" s="63" t="str"/>
      <x:c r="R29" s="63" t="str"/>
      <x:c r="S29" s="63" t="str"/>
      <x:c r="T29" s="63" t="str"/>
      <x:c r="U29" s="63" t="str">
        <x:v>machine–transport coupled</x:v>
      </x:c>
      <x:c r="V29" s="63" t="str">
        <x:v>scheduling/metaheuristic</x:v>
      </x:c>
      <x:c r="W29" s="63" t="str"/>
      <x:c r="X29" s="63" t="str">
        <x:v>Frozen-query match: S1; source queries: S1</x:v>
      </x:c>
      <x:c r="Y29" s="63" t="str"/>
      <x:c r="Z29" s="63" t="str"/>
      <x:c r="AA29" s="63" t="str"/>
      <x:c r="AB29" s="63" t="str"/>
      <x:c r="AC29" s="63" t="str"/>
      <x:c r="AD29" s="63" t="str"/>
      <x:c r="AE29" s="63" t="str"/>
      <x:c r="AF29" s="63" t="str"/>
      <x:c r="AG29" s="63" t="str"/>
      <x:c r="AH29" s="63" t="str"/>
      <x:c r="AI29" s="63" t="str"/>
      <x:c r="AJ29" s="63" t="str"/>
      <x:c r="AK29" s="63" t="str"/>
      <x:c r="AL29" s="63" t="str"/>
      <x:c r="AM29" s="63" t="str"/>
      <x:c r="AN29" s="63" t="str"/>
      <x:c r="AO29" s="63" t="str"/>
      <x:c r="AP29" s="63" t="str"/>
      <x:c r="AQ29" s="63" t="str"/>
      <x:c r="AR29" s="63" t="str"/>
      <x:c r="AS29" s="63" t="str"/>
      <x:c r="AT29" s="63" t="str">
        <x:v>The flexibilization and increase of new production concepts such as matrix manufacturing with the help of autonomous logistics robots (AGVs) pose new challenges to production scheduling. To solve these flexible job shop scheduling problems (FJSSP) for arbitrary production arrangements, a concept for a multi-agent system based on Deep Reinforcement Learning (MARL) is proposed. The focus is on speed and quality of scheduling, easy creation of new manufacturing setups and extensibility to other scheduling problems such as logistics. An algorithm to solve these problems is given and evaluated on a</x:v>
      </x:c>
      <x:c r="AU29" s="63" t="str">
        <x:v>No full-text direct evidence extracted in step 4.</x:v>
      </x:c>
      <x:c r="AV29" s="63" t="str">
        <x:v>Preliminary relevance inference: meets all concept groups for S1.</x:v>
      </x:c>
      <x:c r="AW29" s="63" t="str">
        <x:v>Title/abstract screening cannot establish implementation identity, novelty, or performance comparability.</x:v>
      </x:c>
      <x:c r="AX29" s="63" t="str">
        <x:v>Verify original full text, method details, experimental budget, and six comparability dimensions.</x:v>
      </x:c>
      <x:c r="AY29" s="63" t="str">
        <x:v>unresolved</x:v>
      </x:c>
      <x:c r="AZ29" s="63" t="str">
        <x:v>indirect</x:v>
      </x:c>
      <x:c r="BA29" s="63" t="str">
        <x:v>Title/abstract screened; full-text pending</x:v>
      </x:c>
      <x:c r="BB29" s="63">
        <x:f>IF(COUNTA(B29:BC29)=0,"",IF(A29="","MISSING ID",IFERROR(IF(AND(LEFT(A29,1)="L",ISNUMBER(SEARCH("-E",A29))),"OK","CHECK ID"),"CHECK ID")))</x:f>
      </x:c>
    </x:row>
    <x:row r="30" ht="48" customHeight="1">
      <x:c r="A30" s="62" t="str">
        <x:v>L054-E01</x:v>
      </x:c>
      <x:c r="B30" s="62" t="str">
        <x:v>L054</x:v>
      </x:c>
      <x:c r="C30" s="62" t="str">
        <x:v>OpenAlex S1; title+abstract</x:v>
      </x:c>
      <x:c r="D30" s="62" t="str">
        <x:v>Database abstract available</x:v>
      </x:c>
      <x:c r="E30" s="62" t="str">
        <x:v>machine–AGV joint scheduling</x:v>
      </x:c>
      <x:c r="F30" s="62" t="str">
        <x:v>workshop</x:v>
      </x:c>
      <x:c r="G30" s="62" t="str">
        <x:v>machine/operation/vehicle scheduling or adaptive search</x:v>
      </x:c>
      <x:c r="H30" s="62" t="str">
        <x:v>jobs, operations, machines, AGVs</x:v>
      </x:c>
      <x:c r="I30" s="62" t="str">
        <x:v>Pending full-text extraction</x:v>
      </x:c>
      <x:c r="J30" s="62" t="str">
        <x:v>Pending full-text extraction</x:v>
      </x:c>
      <x:c r="K30" s="62" t="str">
        <x:v>Pending full-text extraction</x:v>
      </x:c>
      <x:c r="L30" s="62" t="str">
        <x:v>Pending full-text extraction</x:v>
      </x:c>
      <x:c r="M30" s="62" t="str">
        <x:v>workshop</x:v>
      </x:c>
      <x:c r="N30" s="62" t="str">
        <x:v>dynamic/online</x:v>
      </x:c>
      <x:c r="O30" s="62" t="str"/>
      <x:c r="P30" s="62" t="str"/>
      <x:c r="Q30" s="62" t="str"/>
      <x:c r="R30" s="62" t="str"/>
      <x:c r="S30" s="62" t="str"/>
      <x:c r="T30" s="62" t="str"/>
      <x:c r="U30" s="62" t="str">
        <x:v>machine–transport coupled</x:v>
      </x:c>
      <x:c r="V30" s="62" t="str">
        <x:v>scheduling/metaheuristic</x:v>
      </x:c>
      <x:c r="W30" s="62" t="str"/>
      <x:c r="X30" s="62" t="str">
        <x:v>Frozen-query match: S1; source queries: S1</x:v>
      </x:c>
      <x:c r="Y30" s="62" t="str"/>
      <x:c r="Z30" s="62" t="str"/>
      <x:c r="AA30" s="62" t="str"/>
      <x:c r="AB30" s="62" t="str"/>
      <x:c r="AC30" s="62" t="str"/>
      <x:c r="AD30" s="62" t="str"/>
      <x:c r="AE30" s="62" t="str"/>
      <x:c r="AF30" s="62" t="str"/>
      <x:c r="AG30" s="62" t="str"/>
      <x:c r="AH30" s="62" t="str"/>
      <x:c r="AI30" s="62" t="str"/>
      <x:c r="AJ30" s="62" t="str"/>
      <x:c r="AK30" s="62" t="str"/>
      <x:c r="AL30" s="62" t="str"/>
      <x:c r="AM30" s="62" t="str"/>
      <x:c r="AN30" s="62" t="str"/>
      <x:c r="AO30" s="62" t="str"/>
      <x:c r="AP30" s="62" t="str"/>
      <x:c r="AQ30" s="62" t="str"/>
      <x:c r="AR30" s="62" t="str"/>
      <x:c r="AS30" s="62" t="str"/>
      <x:c r="AT30" s="62" t="str">
        <x:v>With the development of intelligent manufacturing technology, automatic guided vehicle (AGV) has been widely used in workshop logistics transportation. However, the complex and changeable production process requires efficient and dynamic transportation and distribution. In this paper, based on the results of process scheduling, a method of independent decision-making transportation process is studied. A transportation strategy training method with breakpoint continuation and hierarchical feedback is proposed based on deep Q-network (DQN). Transportation scheduling can be quickly decided and ad</x:v>
      </x:c>
      <x:c r="AU30" s="62" t="str">
        <x:v>No full-text direct evidence extracted in step 4.</x:v>
      </x:c>
      <x:c r="AV30" s="62" t="str">
        <x:v>Preliminary relevance inference: meets all concept groups for S1.</x:v>
      </x:c>
      <x:c r="AW30" s="62" t="str">
        <x:v>Title/abstract screening cannot establish implementation identity, novelty, or performance comparability.</x:v>
      </x:c>
      <x:c r="AX30" s="62" t="str">
        <x:v>Verify original full text, method details, experimental budget, and six comparability dimensions.</x:v>
      </x:c>
      <x:c r="AY30" s="62" t="str">
        <x:v>unresolved</x:v>
      </x:c>
      <x:c r="AZ30" s="62" t="str">
        <x:v>indirect</x:v>
      </x:c>
      <x:c r="BA30" s="62" t="str">
        <x:v>Title/abstract screened; full-text pending</x:v>
      </x:c>
      <x:c r="BB30" s="62">
        <x:f>IF(COUNTA(B30:BC30)=0,"",IF(A30="","MISSING ID",IFERROR(IF(AND(LEFT(A30,1)="L",ISNUMBER(SEARCH("-E",A30))),"OK","CHECK ID"),"CHECK ID")))</x:f>
      </x:c>
    </x:row>
    <x:row r="31" ht="48" customHeight="1">
      <x:c r="A31" s="63" t="str">
        <x:v>L055-E01</x:v>
      </x:c>
      <x:c r="B31" s="63" t="str">
        <x:v>L055</x:v>
      </x:c>
      <x:c r="C31" s="63" t="str">
        <x:v>OpenAlex S1; title+abstract</x:v>
      </x:c>
      <x:c r="D31" s="63" t="str">
        <x:v>Database abstract available</x:v>
      </x:c>
      <x:c r="E31" s="63" t="str">
        <x:v>machine–AGV joint scheduling</x:v>
      </x:c>
      <x:c r="F31" s="63" t="str">
        <x:v>workshop</x:v>
      </x:c>
      <x:c r="G31" s="63" t="str">
        <x:v>machine/operation/vehicle scheduling or adaptive search</x:v>
      </x:c>
      <x:c r="H31" s="63" t="str">
        <x:v>jobs, operations, machines, AGVs</x:v>
      </x:c>
      <x:c r="I31" s="63" t="str">
        <x:v>Pending full-text extraction</x:v>
      </x:c>
      <x:c r="J31" s="63" t="str">
        <x:v>Pending full-text extraction</x:v>
      </x:c>
      <x:c r="K31" s="63" t="str">
        <x:v>Pending full-text extraction</x:v>
      </x:c>
      <x:c r="L31" s="63" t="str">
        <x:v>Pending full-text extraction</x:v>
      </x:c>
      <x:c r="M31" s="63" t="str">
        <x:v>workshop</x:v>
      </x:c>
      <x:c r="N31" s="63" t="str">
        <x:v>static/offline or not stated</x:v>
      </x:c>
      <x:c r="O31" s="63" t="str"/>
      <x:c r="P31" s="63" t="str"/>
      <x:c r="Q31" s="63" t="str"/>
      <x:c r="R31" s="63" t="str"/>
      <x:c r="S31" s="63" t="str"/>
      <x:c r="T31" s="63" t="str"/>
      <x:c r="U31" s="63" t="str">
        <x:v>machine–transport coupled</x:v>
      </x:c>
      <x:c r="V31" s="63" t="str">
        <x:v>scheduling/metaheuristic</x:v>
      </x:c>
      <x:c r="W31" s="63" t="str"/>
      <x:c r="X31" s="63" t="str">
        <x:v>Frozen-query match: S1; source queries: S1</x:v>
      </x:c>
      <x:c r="Y31" s="63" t="str"/>
      <x:c r="Z31" s="63" t="str"/>
      <x:c r="AA31" s="63" t="str"/>
      <x:c r="AB31" s="63" t="str"/>
      <x:c r="AC31" s="63" t="str"/>
      <x:c r="AD31" s="63" t="str"/>
      <x:c r="AE31" s="63" t="str"/>
      <x:c r="AF31" s="63" t="str"/>
      <x:c r="AG31" s="63" t="str"/>
      <x:c r="AH31" s="63" t="str"/>
      <x:c r="AI31" s="63" t="str"/>
      <x:c r="AJ31" s="63" t="str"/>
      <x:c r="AK31" s="63" t="str"/>
      <x:c r="AL31" s="63" t="str"/>
      <x:c r="AM31" s="63" t="str"/>
      <x:c r="AN31" s="63" t="str"/>
      <x:c r="AO31" s="63" t="str"/>
      <x:c r="AP31" s="63" t="str"/>
      <x:c r="AQ31" s="63" t="str"/>
      <x:c r="AR31" s="63" t="str"/>
      <x:c r="AS31" s="63" t="str"/>
      <x:c r="AT31" s="63" t="str">
        <x:v>Increasing demand for customized products in the wake of the 4th Industrial Revolution is placing ever increasing demands on the flexibility of manufacturing systems. Furthermore, the increasing usage of automated guided vehicles (AGV) adds another layer of flexibility and also complexity to the overall production system. The resulting Flexible Job Shop Scheduling Problem (FJSSP), including the coordination of the AGVs, is NP-hard and therefore hard to optimize. To address this problem, a Reinforcement Learning Multi Agent (MARL) system is proposed, in which job scheduling and vehicle planning</x:v>
      </x:c>
      <x:c r="AU31" s="63" t="str">
        <x:v>No full-text direct evidence extracted in step 4.</x:v>
      </x:c>
      <x:c r="AV31" s="63" t="str">
        <x:v>Preliminary relevance inference: meets all concept groups for S1.</x:v>
      </x:c>
      <x:c r="AW31" s="63" t="str">
        <x:v>Title/abstract screening cannot establish implementation identity, novelty, or performance comparability.</x:v>
      </x:c>
      <x:c r="AX31" s="63" t="str">
        <x:v>Verify original full text, method details, experimental budget, and six comparability dimensions.</x:v>
      </x:c>
      <x:c r="AY31" s="63" t="str">
        <x:v>unresolved</x:v>
      </x:c>
      <x:c r="AZ31" s="63" t="str">
        <x:v>indirect</x:v>
      </x:c>
      <x:c r="BA31" s="63" t="str">
        <x:v>Title/abstract screened; full-text pending</x:v>
      </x:c>
      <x:c r="BB31" s="63">
        <x:f>IF(COUNTA(B31:BC31)=0,"",IF(A31="","MISSING ID",IFERROR(IF(AND(LEFT(A31,1)="L",ISNUMBER(SEARCH("-E",A31))),"OK","CHECK ID"),"CHECK ID")))</x:f>
      </x:c>
    </x:row>
    <x:row r="32" ht="48" customHeight="1">
      <x:c r="A32" s="62" t="str">
        <x:v>L056-E01</x:v>
      </x:c>
      <x:c r="B32" s="62" t="str">
        <x:v>L056</x:v>
      </x:c>
      <x:c r="C32" s="62" t="str">
        <x:v>OpenAlex-S6-trace S6; title+abstract</x:v>
      </x:c>
      <x:c r="D32" s="62" t="str">
        <x:v>Database abstract available</x:v>
      </x:c>
      <x:c r="E32" s="62" t="str">
        <x:v>shop scheduling mechanism</x:v>
      </x:c>
      <x:c r="F32" s="62" t="str">
        <x:v>workshop</x:v>
      </x:c>
      <x:c r="G32" s="62" t="str">
        <x:v>critical/bottleneck region or local-search move</x:v>
      </x:c>
      <x:c r="H32" s="62" t="str">
        <x:v>problem entities not yet extracted</x:v>
      </x:c>
      <x:c r="I32" s="62" t="str">
        <x:v>Pending full-text extraction</x:v>
      </x:c>
      <x:c r="J32" s="62" t="str">
        <x:v>Pending full-text extraction</x:v>
      </x:c>
      <x:c r="K32" s="62" t="str">
        <x:v>Pending full-text extraction</x:v>
      </x:c>
      <x:c r="L32" s="62" t="str">
        <x:v>Pending full-text extraction</x:v>
      </x:c>
      <x:c r="M32" s="62" t="str">
        <x:v>workshop</x:v>
      </x:c>
      <x:c r="N32" s="62" t="str">
        <x:v>static/offline or not stated</x:v>
      </x:c>
      <x:c r="O32" s="62" t="str"/>
      <x:c r="P32" s="62" t="str"/>
      <x:c r="Q32" s="62" t="str"/>
      <x:c r="R32" s="62" t="str"/>
      <x:c r="S32" s="62" t="str"/>
      <x:c r="T32" s="62" t="str"/>
      <x:c r="U32" s="62" t="str">
        <x:v>mechanism-transfer candidate</x:v>
      </x:c>
      <x:c r="V32" s="62" t="str">
        <x:v>scheduling/metaheuristic</x:v>
      </x:c>
      <x:c r="W32" s="62" t="str"/>
      <x:c r="X32" s="62" t="str">
        <x:v>Frozen-query match: S2; source queries: S6</x:v>
      </x:c>
      <x:c r="Y32" s="62" t="str"/>
      <x:c r="Z32" s="62" t="str"/>
      <x:c r="AA32" s="62" t="str"/>
      <x:c r="AB32" s="62" t="str"/>
      <x:c r="AC32" s="62" t="str"/>
      <x:c r="AD32" s="62" t="str"/>
      <x:c r="AE32" s="62" t="str"/>
      <x:c r="AF32" s="62" t="str"/>
      <x:c r="AG32" s="62" t="str"/>
      <x:c r="AH32" s="62" t="str"/>
      <x:c r="AI32" s="62" t="str"/>
      <x:c r="AJ32" s="62" t="str"/>
      <x:c r="AK32" s="62" t="str"/>
      <x:c r="AL32" s="62" t="str"/>
      <x:c r="AM32" s="62" t="str"/>
      <x:c r="AN32" s="62" t="str"/>
      <x:c r="AO32" s="62" t="str"/>
      <x:c r="AP32" s="62" t="str"/>
      <x:c r="AQ32" s="62" t="str"/>
      <x:c r="AR32" s="62" t="str"/>
      <x:c r="AS32" s="62" t="str"/>
      <x:c r="AT32" s="62" t="str">
        <x:v>In real-world production, a few operations of a job may do not follow precedence constraints. However, classical flexible job shop scheduling problem (FJSP) typically assume operations sequence is fixed. Therefore, this study investigates the FJSP with discrete operation sequence flexibility (FJSPDS), aiming to minimise the makespan. First, a novel constraint programming (CP) model is proposed to obtain optimal solutions. Then, a matheuristic and imitation learning-driven evolutionary algorithm (MILEA) is developed to effectively solve large-scale instances. The MILEA includes three key compon</x:v>
      </x:c>
      <x:c r="AU32" s="62" t="str">
        <x:v>No full-text direct evidence extracted in step 4.</x:v>
      </x:c>
      <x:c r="AV32" s="62" t="str">
        <x:v>Preliminary relevance inference: meets all concept groups for S2.</x:v>
      </x:c>
      <x:c r="AW32" s="62" t="str">
        <x:v>Title/abstract screening cannot establish implementation identity, novelty, or performance comparability.</x:v>
      </x:c>
      <x:c r="AX32" s="62" t="str">
        <x:v>Verify original full text, method details, experimental budget, and six comparability dimensions.</x:v>
      </x:c>
      <x:c r="AY32" s="62" t="str">
        <x:v>unresolved</x:v>
      </x:c>
      <x:c r="AZ32" s="62" t="str">
        <x:v>indirect</x:v>
      </x:c>
      <x:c r="BA32" s="62" t="str">
        <x:v>Title/abstract screened; full-text pending</x:v>
      </x:c>
      <x:c r="BB32" s="62">
        <x:f>IF(COUNTA(B32:BC32)=0,"",IF(A32="","MISSING ID",IFERROR(IF(AND(LEFT(A32,1)="L",ISNUMBER(SEARCH("-E",A32))),"OK","CHECK ID"),"CHECK ID")))</x:f>
      </x:c>
    </x:row>
    <x:row r="33" ht="48" customHeight="1">
      <x:c r="A33" s="63" t="str">
        <x:v>L057-E01</x:v>
      </x:c>
      <x:c r="B33" s="63" t="str">
        <x:v>L057</x:v>
      </x:c>
      <x:c r="C33" s="63" t="str">
        <x:v>OpenAlex-S6-trace S6; title+metadata</x:v>
      </x:c>
      <x:c r="D33" s="63" t="str">
        <x:v>Abstract unavailable</x:v>
      </x:c>
      <x:c r="E33" s="63" t="str">
        <x:v>shop scheduling mechanism</x:v>
      </x:c>
      <x:c r="F33" s="63" t="str">
        <x:v>workshop</x:v>
      </x:c>
      <x:c r="G33" s="63" t="str">
        <x:v>neighborhood/operator/heuristic selection</x:v>
      </x:c>
      <x:c r="H33" s="63" t="str">
        <x:v>problem entities not yet extracted</x:v>
      </x:c>
      <x:c r="I33" s="63" t="str">
        <x:v>Pending full-text extraction</x:v>
      </x:c>
      <x:c r="J33" s="63" t="str">
        <x:v>Pending full-text extraction</x:v>
      </x:c>
      <x:c r="K33" s="63" t="str">
        <x:v>Pending full-text extraction</x:v>
      </x:c>
      <x:c r="L33" s="63" t="str">
        <x:v>Pending full-text extraction</x:v>
      </x:c>
      <x:c r="M33" s="63" t="str">
        <x:v>workshop</x:v>
      </x:c>
      <x:c r="N33" s="63" t="str">
        <x:v>dynamic/online</x:v>
      </x:c>
      <x:c r="O33" s="63" t="str"/>
      <x:c r="P33" s="63" t="str"/>
      <x:c r="Q33" s="63" t="str"/>
      <x:c r="R33" s="63" t="str"/>
      <x:c r="S33" s="63" t="str"/>
      <x:c r="T33" s="63" t="str"/>
      <x:c r="U33" s="63" t="str">
        <x:v>mechanism-transfer candidate</x:v>
      </x:c>
      <x:c r="V33" s="63" t="str">
        <x:v>RL hyper-heuristic</x:v>
      </x:c>
      <x:c r="W33" s="63" t="str"/>
      <x:c r="X33" s="63" t="str">
        <x:v>Frozen-query match: S3,S5; source queries: S6</x:v>
      </x:c>
      <x:c r="Y33" s="63" t="str"/>
      <x:c r="Z33" s="63" t="str"/>
      <x:c r="AA33" s="63" t="str"/>
      <x:c r="AB33" s="63" t="str"/>
      <x:c r="AC33" s="63" t="str"/>
      <x:c r="AD33" s="63" t="str"/>
      <x:c r="AE33" s="63" t="str"/>
      <x:c r="AF33" s="63" t="str"/>
      <x:c r="AG33" s="63" t="str"/>
      <x:c r="AH33" s="63" t="str"/>
      <x:c r="AI33" s="63" t="str"/>
      <x:c r="AJ33" s="63" t="str"/>
      <x:c r="AK33" s="63" t="str"/>
      <x:c r="AL33" s="63" t="str"/>
      <x:c r="AM33" s="63" t="str"/>
      <x:c r="AN33" s="63" t="str"/>
      <x:c r="AO33" s="63" t="str"/>
      <x:c r="AP33" s="63" t="str"/>
      <x:c r="AQ33" s="63" t="str"/>
      <x:c r="AR33" s="63" t="str"/>
      <x:c r="AS33" s="63" t="str"/>
      <x:c r="AT33" s="63" t="str">
        <x:v>No abstract retrieved; no author conclusion extracted.</x:v>
      </x:c>
      <x:c r="AU33" s="63" t="str">
        <x:v>No full-text direct evidence extracted in step 4.</x:v>
      </x:c>
      <x:c r="AV33" s="63" t="str">
        <x:v>Preliminary relevance inference: meets all concept groups for S3, S5.</x:v>
      </x:c>
      <x:c r="AW33" s="63" t="str">
        <x:v>Title/abstract screening cannot establish implementation identity, novelty, or performance comparability.</x:v>
      </x:c>
      <x:c r="AX33" s="63" t="str">
        <x:v>Verify original full text, method details, experimental budget, and six comparability dimensions.</x:v>
      </x:c>
      <x:c r="AY33" s="63" t="str">
        <x:v>unresolved</x:v>
      </x:c>
      <x:c r="AZ33" s="63" t="str">
        <x:v>indirect</x:v>
      </x:c>
      <x:c r="BA33" s="63" t="str">
        <x:v>Title/abstract screened; full-text pending</x:v>
      </x:c>
      <x:c r="BB33" s="63">
        <x:f>IF(COUNTA(B33:BC33)=0,"",IF(A33="","MISSING ID",IFERROR(IF(AND(LEFT(A33,1)="L",ISNUMBER(SEARCH("-E",A33))),"OK","CHECK ID"),"CHECK ID")))</x:f>
      </x:c>
    </x:row>
    <x:row r="34" ht="48" customHeight="1">
      <x:c r="A34" s="62" t="str">
        <x:v>L058-E01</x:v>
      </x:c>
      <x:c r="B34" s="62" t="str">
        <x:v>L058</x:v>
      </x:c>
      <x:c r="C34" s="62" t="str">
        <x:v>arXiv S4; title+abstract</x:v>
      </x:c>
      <x:c r="D34" s="62" t="str">
        <x:v>Database abstract available</x:v>
      </x:c>
      <x:c r="E34" s="62" t="str">
        <x:v>transferable search-control mechanism</x:v>
      </x:c>
      <x:c r="F34" s="62" t="str">
        <x:v>cross-domain optimization</x:v>
      </x:c>
      <x:c r="G34" s="62" t="str">
        <x:v>search intensity, neighborhood size, or computational budget</x:v>
      </x:c>
      <x:c r="H34" s="62" t="str">
        <x:v>problem entities not yet extracted</x:v>
      </x:c>
      <x:c r="I34" s="62" t="str">
        <x:v>Pending full-text extraction</x:v>
      </x:c>
      <x:c r="J34" s="62" t="str">
        <x:v>Pending full-text extraction</x:v>
      </x:c>
      <x:c r="K34" s="62" t="str">
        <x:v>Pending full-text extraction</x:v>
      </x:c>
      <x:c r="L34" s="62" t="str">
        <x:v>Pending full-text extraction</x:v>
      </x:c>
      <x:c r="M34" s="62" t="str">
        <x:v>cross-domain optimization</x:v>
      </x:c>
      <x:c r="N34" s="62" t="str">
        <x:v>static/offline or not stated</x:v>
      </x:c>
      <x:c r="O34" s="62" t="str"/>
      <x:c r="P34" s="62" t="str"/>
      <x:c r="Q34" s="62" t="str"/>
      <x:c r="R34" s="62" t="str"/>
      <x:c r="S34" s="62" t="str"/>
      <x:c r="T34" s="62" t="str"/>
      <x:c r="U34" s="62" t="str">
        <x:v>mechanism-transfer candidate</x:v>
      </x:c>
      <x:c r="V34" s="62" t="str">
        <x:v>adaptive search control</x:v>
      </x:c>
      <x:c r="W34" s="62" t="str"/>
      <x:c r="X34" s="62" t="str">
        <x:v>Frozen-query match: S4; source queries: S4</x:v>
      </x:c>
      <x:c r="Y34" s="62" t="str"/>
      <x:c r="Z34" s="62" t="str"/>
      <x:c r="AA34" s="62" t="str"/>
      <x:c r="AB34" s="62" t="str"/>
      <x:c r="AC34" s="62" t="str"/>
      <x:c r="AD34" s="62" t="str"/>
      <x:c r="AE34" s="62" t="str"/>
      <x:c r="AF34" s="62" t="str"/>
      <x:c r="AG34" s="62" t="str"/>
      <x:c r="AH34" s="62" t="str"/>
      <x:c r="AI34" s="62" t="str"/>
      <x:c r="AJ34" s="62" t="str"/>
      <x:c r="AK34" s="62" t="str"/>
      <x:c r="AL34" s="62" t="str"/>
      <x:c r="AM34" s="62" t="str"/>
      <x:c r="AN34" s="62" t="str"/>
      <x:c r="AO34" s="62" t="str"/>
      <x:c r="AP34" s="62" t="str"/>
      <x:c r="AQ34" s="62" t="str"/>
      <x:c r="AR34" s="62" t="str"/>
      <x:c r="AS34" s="62" t="str"/>
      <x:c r="AT34" s="62" t="str">
        <x:v>This work addresses the uniform parallel machine scheduling problem within an optimistic bilevel optimization framework. The leader seeks to minimize the weighted number of tardy jobs, while the follower aims to minimize the total completion time across a set of uniform machines. The hierarchical decision-making process of the bilevel problem makes designing effective heuristics challenging. To tackle this, we exploit a property of the follower that enables the construction of optimal schedules. From this property, we derive an effective branching scheme that simultaneously accounts for both l</x:v>
      </x:c>
      <x:c r="AU34" s="62" t="str">
        <x:v>No full-text direct evidence extracted in step 4.</x:v>
      </x:c>
      <x:c r="AV34" s="62" t="str">
        <x:v>Preliminary relevance inference: meets all concept groups for S4.</x:v>
      </x:c>
      <x:c r="AW34" s="62" t="str">
        <x:v>Title/abstract screening cannot establish implementation identity, novelty, or performance comparability.</x:v>
      </x:c>
      <x:c r="AX34" s="62" t="str">
        <x:v>Verify original full text, method details, experimental budget, and six comparability dimensions.</x:v>
      </x:c>
      <x:c r="AY34" s="62" t="str">
        <x:v>unresolved</x:v>
      </x:c>
      <x:c r="AZ34" s="62" t="str">
        <x:v>indirect</x:v>
      </x:c>
      <x:c r="BA34" s="62" t="str">
        <x:v>Title/abstract screened; full-text pending</x:v>
      </x:c>
      <x:c r="BB34" s="62">
        <x:f>IF(COUNTA(B34:BC34)=0,"",IF(A34="","MISSING ID",IFERROR(IF(AND(LEFT(A34,1)="L",ISNUMBER(SEARCH("-E",A34))),"OK","CHECK ID"),"CHECK ID")))</x:f>
      </x:c>
    </x:row>
    <x:row r="35" ht="48" customHeight="1">
      <x:c r="A35" s="63" t="str">
        <x:v>L059-E01</x:v>
      </x:c>
      <x:c r="B35" s="63" t="str">
        <x:v>L059</x:v>
      </x:c>
      <x:c r="C35" s="63" t="str">
        <x:v>arXiv S2; title+abstract</x:v>
      </x:c>
      <x:c r="D35" s="63" t="str">
        <x:v>Database abstract available</x:v>
      </x:c>
      <x:c r="E35" s="63" t="str">
        <x:v>transferable search-control mechanism</x:v>
      </x:c>
      <x:c r="F35" s="63" t="str">
        <x:v>routing/transport</x:v>
      </x:c>
      <x:c r="G35" s="63" t="str">
        <x:v>critical/bottleneck region or local-search move</x:v>
      </x:c>
      <x:c r="H35" s="63" t="str">
        <x:v>problem entities not yet extracted</x:v>
      </x:c>
      <x:c r="I35" s="63" t="str">
        <x:v>Pending full-text extraction</x:v>
      </x:c>
      <x:c r="J35" s="63" t="str">
        <x:v>Pending full-text extraction</x:v>
      </x:c>
      <x:c r="K35" s="63" t="str">
        <x:v>Pending full-text extraction</x:v>
      </x:c>
      <x:c r="L35" s="63" t="str">
        <x:v>Pending full-text extraction</x:v>
      </x:c>
      <x:c r="M35" s="63" t="str">
        <x:v>routing/transport</x:v>
      </x:c>
      <x:c r="N35" s="63" t="str">
        <x:v>dynamic/online</x:v>
      </x:c>
      <x:c r="O35" s="63" t="str"/>
      <x:c r="P35" s="63" t="str"/>
      <x:c r="Q35" s="63" t="str"/>
      <x:c r="R35" s="63" t="str"/>
      <x:c r="S35" s="63" t="str"/>
      <x:c r="T35" s="63" t="str"/>
      <x:c r="U35" s="63" t="str">
        <x:v>mechanism-transfer candidate</x:v>
      </x:c>
      <x:c r="V35" s="63" t="str">
        <x:v>scheduling/metaheuristic</x:v>
      </x:c>
      <x:c r="W35" s="63" t="str"/>
      <x:c r="X35" s="63" t="str">
        <x:v>Frozen-query match: S2; source queries: S2</x:v>
      </x:c>
      <x:c r="Y35" s="63" t="str"/>
      <x:c r="Z35" s="63" t="str"/>
      <x:c r="AA35" s="63" t="str"/>
      <x:c r="AB35" s="63" t="str"/>
      <x:c r="AC35" s="63" t="str"/>
      <x:c r="AD35" s="63" t="str"/>
      <x:c r="AE35" s="63" t="str"/>
      <x:c r="AF35" s="63" t="str"/>
      <x:c r="AG35" s="63" t="str"/>
      <x:c r="AH35" s="63" t="str"/>
      <x:c r="AI35" s="63" t="str"/>
      <x:c r="AJ35" s="63" t="str"/>
      <x:c r="AK35" s="63" t="str"/>
      <x:c r="AL35" s="63" t="str"/>
      <x:c r="AM35" s="63" t="str"/>
      <x:c r="AN35" s="63" t="str"/>
      <x:c r="AO35" s="63" t="str"/>
      <x:c r="AP35" s="63" t="str"/>
      <x:c r="AQ35" s="63" t="str"/>
      <x:c r="AR35" s="63" t="str"/>
      <x:c r="AS35" s="63" t="str"/>
      <x:c r="AT35" s="63" t="str">
        <x:v>We consider the real-time reoptimisation of log-truck routing and scheduling in the Canadian forestry industry following unforeseen disruptions. Road closures, vehicle breakdowns, travel delays, and demand fluctuations invalidate pre-established tactical plans and call for recovery decisions that simultaneously restore feasibility and limit deviation from the original schedule, two objectives inherently in tension under tight time constraints. We formulate recovery as a sequence of neighbourhood-restricted mixed-integer linear programs parameterised by a deviation bound $k$, the $\ell_1$ dista</x:v>
      </x:c>
      <x:c r="AU35" s="63" t="str">
        <x:v>No full-text direct evidence extracted in step 4.</x:v>
      </x:c>
      <x:c r="AV35" s="63" t="str">
        <x:v>Preliminary relevance inference: meets all concept groups for S2.</x:v>
      </x:c>
      <x:c r="AW35" s="63" t="str">
        <x:v>Title/abstract screening cannot establish implementation identity, novelty, or performance comparability.</x:v>
      </x:c>
      <x:c r="AX35" s="63" t="str">
        <x:v>Verify original full text, method details, experimental budget, and six comparability dimensions.</x:v>
      </x:c>
      <x:c r="AY35" s="63" t="str">
        <x:v>unresolved</x:v>
      </x:c>
      <x:c r="AZ35" s="63" t="str">
        <x:v>indirect</x:v>
      </x:c>
      <x:c r="BA35" s="63" t="str">
        <x:v>Title/abstract screened; full-text pending</x:v>
      </x:c>
      <x:c r="BB35" s="63">
        <x:f>IF(COUNTA(B35:BC35)=0,"",IF(A35="","MISSING ID",IFERROR(IF(AND(LEFT(A35,1)="L",ISNUMBER(SEARCH("-E",A35))),"OK","CHECK ID"),"CHECK ID")))</x:f>
      </x:c>
    </x:row>
    <x:row r="36" ht="48" customHeight="1">
      <x:c r="A36" s="62" t="str">
        <x:v>L060-E01</x:v>
      </x:c>
      <x:c r="B36" s="62" t="str">
        <x:v>L060</x:v>
      </x:c>
      <x:c r="C36" s="62" t="str">
        <x:v>OpenAlex-S6-trace S6; title+metadata</x:v>
      </x:c>
      <x:c r="D36" s="62" t="str">
        <x:v>Abstract unavailable</x:v>
      </x:c>
      <x:c r="E36" s="62" t="str">
        <x:v>shop scheduling mechanism</x:v>
      </x:c>
      <x:c r="F36" s="62" t="str">
        <x:v>workshop</x:v>
      </x:c>
      <x:c r="G36" s="62" t="str">
        <x:v>neighborhood/operator/heuristic selection</x:v>
      </x:c>
      <x:c r="H36" s="62" t="str">
        <x:v>problem entities not yet extracted</x:v>
      </x:c>
      <x:c r="I36" s="62" t="str">
        <x:v>Pending full-text extraction</x:v>
      </x:c>
      <x:c r="J36" s="62" t="str">
        <x:v>Pending full-text extraction</x:v>
      </x:c>
      <x:c r="K36" s="62" t="str">
        <x:v>Pending full-text extraction</x:v>
      </x:c>
      <x:c r="L36" s="62" t="str">
        <x:v>Pending full-text extraction</x:v>
      </x:c>
      <x:c r="M36" s="62" t="str">
        <x:v>workshop</x:v>
      </x:c>
      <x:c r="N36" s="62" t="str">
        <x:v>static/offline or not stated</x:v>
      </x:c>
      <x:c r="O36" s="62" t="str"/>
      <x:c r="P36" s="62" t="str"/>
      <x:c r="Q36" s="62" t="str"/>
      <x:c r="R36" s="62" t="str"/>
      <x:c r="S36" s="62" t="str"/>
      <x:c r="T36" s="62" t="str"/>
      <x:c r="U36" s="62" t="str">
        <x:v>mechanism-transfer candidate</x:v>
      </x:c>
      <x:c r="V36" s="62" t="str">
        <x:v>RL hyper-heuristic</x:v>
      </x:c>
      <x:c r="W36" s="62" t="str"/>
      <x:c r="X36" s="62" t="str">
        <x:v>Frozen-query match: S3,S5; source queries: S6</x:v>
      </x:c>
      <x:c r="Y36" s="62" t="str"/>
      <x:c r="Z36" s="62" t="str"/>
      <x:c r="AA36" s="62" t="str"/>
      <x:c r="AB36" s="62" t="str"/>
      <x:c r="AC36" s="62" t="str"/>
      <x:c r="AD36" s="62" t="str"/>
      <x:c r="AE36" s="62" t="str"/>
      <x:c r="AF36" s="62" t="str"/>
      <x:c r="AG36" s="62" t="str"/>
      <x:c r="AH36" s="62" t="str"/>
      <x:c r="AI36" s="62" t="str"/>
      <x:c r="AJ36" s="62" t="str"/>
      <x:c r="AK36" s="62" t="str"/>
      <x:c r="AL36" s="62" t="str"/>
      <x:c r="AM36" s="62" t="str"/>
      <x:c r="AN36" s="62" t="str"/>
      <x:c r="AO36" s="62" t="str"/>
      <x:c r="AP36" s="62" t="str"/>
      <x:c r="AQ36" s="62" t="str"/>
      <x:c r="AR36" s="62" t="str"/>
      <x:c r="AS36" s="62" t="str"/>
      <x:c r="AT36" s="62" t="str">
        <x:v>No abstract retrieved; no author conclusion extracted.</x:v>
      </x:c>
      <x:c r="AU36" s="62" t="str">
        <x:v>No full-text direct evidence extracted in step 4.</x:v>
      </x:c>
      <x:c r="AV36" s="62" t="str">
        <x:v>Preliminary relevance inference: meets all concept groups for S3, S5.</x:v>
      </x:c>
      <x:c r="AW36" s="62" t="str">
        <x:v>Title/abstract screening cannot establish implementation identity, novelty, or performance comparability.</x:v>
      </x:c>
      <x:c r="AX36" s="62" t="str">
        <x:v>Verify original full text, method details, experimental budget, and six comparability dimensions.</x:v>
      </x:c>
      <x:c r="AY36" s="62" t="str">
        <x:v>unresolved</x:v>
      </x:c>
      <x:c r="AZ36" s="62" t="str">
        <x:v>indirect</x:v>
      </x:c>
      <x:c r="BA36" s="62" t="str">
        <x:v>Title/abstract screened; full-text pending</x:v>
      </x:c>
      <x:c r="BB36" s="62">
        <x:f>IF(COUNTA(B36:BC36)=0,"",IF(A36="","MISSING ID",IFERROR(IF(AND(LEFT(A36,1)="L",ISNUMBER(SEARCH("-E",A36))),"OK","CHECK ID"),"CHECK ID")))</x:f>
      </x:c>
    </x:row>
    <x:row r="37" ht="48" customHeight="1">
      <x:c r="A37" s="63" t="str">
        <x:v>L061-E01</x:v>
      </x:c>
      <x:c r="B37" s="63" t="str">
        <x:v>L061</x:v>
      </x:c>
      <x:c r="C37" s="63" t="str">
        <x:v>arXiv S5; title+abstract</x:v>
      </x:c>
      <x:c r="D37" s="63" t="str">
        <x:v>Database abstract available</x:v>
      </x:c>
      <x:c r="E37" s="63" t="str">
        <x:v>shop scheduling mechanism</x:v>
      </x:c>
      <x:c r="F37" s="63" t="str">
        <x:v>workshop</x:v>
      </x:c>
      <x:c r="G37" s="63" t="str">
        <x:v>neighborhood/operator/heuristic selection</x:v>
      </x:c>
      <x:c r="H37" s="63" t="str">
        <x:v>problem entities not yet extracted</x:v>
      </x:c>
      <x:c r="I37" s="63" t="str">
        <x:v>Pending full-text extraction</x:v>
      </x:c>
      <x:c r="J37" s="63" t="str">
        <x:v>Pending full-text extraction</x:v>
      </x:c>
      <x:c r="K37" s="63" t="str">
        <x:v>Pending full-text extraction</x:v>
      </x:c>
      <x:c r="L37" s="63" t="str">
        <x:v>Pending full-text extraction</x:v>
      </x:c>
      <x:c r="M37" s="63" t="str">
        <x:v>workshop</x:v>
      </x:c>
      <x:c r="N37" s="63" t="str">
        <x:v>dynamic/online</x:v>
      </x:c>
      <x:c r="O37" s="63" t="str"/>
      <x:c r="P37" s="63" t="str"/>
      <x:c r="Q37" s="63" t="str"/>
      <x:c r="R37" s="63" t="str"/>
      <x:c r="S37" s="63" t="str"/>
      <x:c r="T37" s="63" t="str"/>
      <x:c r="U37" s="63" t="str">
        <x:v>mechanism-transfer candidate</x:v>
      </x:c>
      <x:c r="V37" s="63" t="str">
        <x:v>RL hyper-heuristic</x:v>
      </x:c>
      <x:c r="W37" s="63" t="str"/>
      <x:c r="X37" s="63" t="str">
        <x:v>Frozen-query match: S3,S5; source queries: S5</x:v>
      </x:c>
      <x:c r="Y37" s="63" t="str"/>
      <x:c r="Z37" s="63" t="str"/>
      <x:c r="AA37" s="63" t="str"/>
      <x:c r="AB37" s="63" t="str"/>
      <x:c r="AC37" s="63" t="str"/>
      <x:c r="AD37" s="63" t="str"/>
      <x:c r="AE37" s="63" t="str"/>
      <x:c r="AF37" s="63" t="str"/>
      <x:c r="AG37" s="63" t="str"/>
      <x:c r="AH37" s="63" t="str"/>
      <x:c r="AI37" s="63" t="str"/>
      <x:c r="AJ37" s="63" t="str"/>
      <x:c r="AK37" s="63" t="str"/>
      <x:c r="AL37" s="63" t="str"/>
      <x:c r="AM37" s="63" t="str"/>
      <x:c r="AN37" s="63" t="str"/>
      <x:c r="AO37" s="63" t="str"/>
      <x:c r="AP37" s="63" t="str"/>
      <x:c r="AQ37" s="63" t="str"/>
      <x:c r="AR37" s="63" t="str"/>
      <x:c r="AS37" s="63" t="str"/>
      <x:c r="AT37" s="63" t="str">
        <x:v>This paper proposes a policy-based deep reinforcement learning hyper-heuristic framework for solving the Job Shop Scheduling Problem. The hyper-heuristic agent learns to switch scheduling rules based on the system state dynamically. We extend the hyper-heuristic framework with two key mechanisms. First, action prefiltering restricts decision-making to feasible low-level actions, enabling low-level heuristics to be evaluated independently of environmental constraints and providing an unbiased assessment. Second, a commitment mechanism regulates the frequency of heuristic switching. We investiga</x:v>
      </x:c>
      <x:c r="AU37" s="63" t="str">
        <x:v>No full-text direct evidence extracted in step 4.</x:v>
      </x:c>
      <x:c r="AV37" s="63" t="str">
        <x:v>Preliminary relevance inference: meets all concept groups for S3, S5.</x:v>
      </x:c>
      <x:c r="AW37" s="63" t="str">
        <x:v>Title/abstract screening cannot establish implementation identity, novelty, or performance comparability.</x:v>
      </x:c>
      <x:c r="AX37" s="63" t="str">
        <x:v>Verify original full text, method details, experimental budget, and six comparability dimensions.</x:v>
      </x:c>
      <x:c r="AY37" s="63" t="str">
        <x:v>unresolved</x:v>
      </x:c>
      <x:c r="AZ37" s="63" t="str">
        <x:v>indirect</x:v>
      </x:c>
      <x:c r="BA37" s="63" t="str">
        <x:v>Title/abstract screened; full-text pending</x:v>
      </x:c>
      <x:c r="BB37" s="63">
        <x:f>IF(COUNTA(B37:BC37)=0,"",IF(A37="","MISSING ID",IFERROR(IF(AND(LEFT(A37,1)="L",ISNUMBER(SEARCH("-E",A37))),"OK","CHECK ID"),"CHECK ID")))</x:f>
      </x:c>
    </x:row>
    <x:row r="38" ht="48" customHeight="1">
      <x:c r="A38" s="62" t="str">
        <x:v>L062-E01</x:v>
      </x:c>
      <x:c r="B38" s="62" t="str">
        <x:v>L062</x:v>
      </x:c>
      <x:c r="C38" s="62" t="str">
        <x:v>arXiv S4; title+abstract</x:v>
      </x:c>
      <x:c r="D38" s="62" t="str">
        <x:v>Database abstract available</x:v>
      </x:c>
      <x:c r="E38" s="62" t="str">
        <x:v>transferable search-control mechanism</x:v>
      </x:c>
      <x:c r="F38" s="62" t="str">
        <x:v>cross-domain optimization</x:v>
      </x:c>
      <x:c r="G38" s="62" t="str">
        <x:v>search intensity, neighborhood size, or computational budget</x:v>
      </x:c>
      <x:c r="H38" s="62" t="str">
        <x:v>problem entities not yet extracted</x:v>
      </x:c>
      <x:c r="I38" s="62" t="str">
        <x:v>Pending full-text extraction</x:v>
      </x:c>
      <x:c r="J38" s="62" t="str">
        <x:v>Pending full-text extraction</x:v>
      </x:c>
      <x:c r="K38" s="62" t="str">
        <x:v>Pending full-text extraction</x:v>
      </x:c>
      <x:c r="L38" s="62" t="str">
        <x:v>Pending full-text extraction</x:v>
      </x:c>
      <x:c r="M38" s="62" t="str">
        <x:v>cross-domain optimization</x:v>
      </x:c>
      <x:c r="N38" s="62" t="str">
        <x:v>static/offline or not stated</x:v>
      </x:c>
      <x:c r="O38" s="62" t="str"/>
      <x:c r="P38" s="62" t="str"/>
      <x:c r="Q38" s="62" t="str"/>
      <x:c r="R38" s="62" t="str"/>
      <x:c r="S38" s="62" t="str"/>
      <x:c r="T38" s="62" t="str"/>
      <x:c r="U38" s="62" t="str">
        <x:v>mechanism-transfer candidate</x:v>
      </x:c>
      <x:c r="V38" s="62" t="str">
        <x:v>adaptive search control</x:v>
      </x:c>
      <x:c r="W38" s="62" t="str"/>
      <x:c r="X38" s="62" t="str">
        <x:v>Frozen-query match: S4; source queries: S4</x:v>
      </x:c>
      <x:c r="Y38" s="62" t="str"/>
      <x:c r="Z38" s="62" t="str"/>
      <x:c r="AA38" s="62" t="str"/>
      <x:c r="AB38" s="62" t="str"/>
      <x:c r="AC38" s="62" t="str"/>
      <x:c r="AD38" s="62" t="str"/>
      <x:c r="AE38" s="62" t="str"/>
      <x:c r="AF38" s="62" t="str"/>
      <x:c r="AG38" s="62" t="str"/>
      <x:c r="AH38" s="62" t="str"/>
      <x:c r="AI38" s="62" t="str"/>
      <x:c r="AJ38" s="62" t="str"/>
      <x:c r="AK38" s="62" t="str"/>
      <x:c r="AL38" s="62" t="str"/>
      <x:c r="AM38" s="62" t="str"/>
      <x:c r="AN38" s="62" t="str"/>
      <x:c r="AO38" s="62" t="str"/>
      <x:c r="AP38" s="62" t="str"/>
      <x:c r="AQ38" s="62" t="str"/>
      <x:c r="AR38" s="62" t="str"/>
      <x:c r="AS38" s="62" t="str"/>
      <x:c r="AT38" s="62" t="str">
        <x:v>The Random Gradient hyper-heuristic was recently shown to be able to learn the optimal neighbourhood size when optimizing the LeadingOnes benchmark via the Randomised Local Search (RLS) meta-heuristic. However, for this to happen, a learning period of a certain length $τ$ had to be used, differently from classic hyper-heuristics, which change their behaviour based on the success of only the previous iteration. In this paper, we show how to automatically set this new parameter value, relieving the user from the non-trivial task of controlling this novel algorithm parameter. We prove that the re</x:v>
      </x:c>
      <x:c r="AU38" s="62" t="str">
        <x:v>No full-text direct evidence extracted in step 4.</x:v>
      </x:c>
      <x:c r="AV38" s="62" t="str">
        <x:v>Preliminary relevance inference: meets all concept groups for S4.</x:v>
      </x:c>
      <x:c r="AW38" s="62" t="str">
        <x:v>Title/abstract screening cannot establish implementation identity, novelty, or performance comparability.</x:v>
      </x:c>
      <x:c r="AX38" s="62" t="str">
        <x:v>Verify original full text, method details, experimental budget, and six comparability dimensions.</x:v>
      </x:c>
      <x:c r="AY38" s="62" t="str">
        <x:v>unresolved</x:v>
      </x:c>
      <x:c r="AZ38" s="62" t="str">
        <x:v>indirect</x:v>
      </x:c>
      <x:c r="BA38" s="62" t="str">
        <x:v>Title/abstract screened; full-text pending</x:v>
      </x:c>
      <x:c r="BB38" s="62">
        <x:f>IF(COUNTA(B38:BC38)=0,"",IF(A38="","MISSING ID",IFERROR(IF(AND(LEFT(A38,1)="L",ISNUMBER(SEARCH("-E",A38))),"OK","CHECK ID"),"CHECK ID")))</x:f>
      </x:c>
    </x:row>
    <x:row r="39" ht="48" customHeight="1">
      <x:c r="A39" s="63" t="str">
        <x:v>L063-E01</x:v>
      </x:c>
      <x:c r="B39" s="63" t="str">
        <x:v>L063</x:v>
      </x:c>
      <x:c r="C39" s="63" t="str">
        <x:v>arXiv S2; title+abstract</x:v>
      </x:c>
      <x:c r="D39" s="63" t="str">
        <x:v>Database abstract available</x:v>
      </x:c>
      <x:c r="E39" s="63" t="str">
        <x:v>transferable search-control mechanism</x:v>
      </x:c>
      <x:c r="F39" s="63" t="str">
        <x:v>cross-domain optimization</x:v>
      </x:c>
      <x:c r="G39" s="63" t="str">
        <x:v>critical/bottleneck region or local-search move</x:v>
      </x:c>
      <x:c r="H39" s="63" t="str">
        <x:v>problem entities not yet extracted</x:v>
      </x:c>
      <x:c r="I39" s="63" t="str">
        <x:v>Pending full-text extraction</x:v>
      </x:c>
      <x:c r="J39" s="63" t="str">
        <x:v>Pending full-text extraction</x:v>
      </x:c>
      <x:c r="K39" s="63" t="str">
        <x:v>Pending full-text extraction</x:v>
      </x:c>
      <x:c r="L39" s="63" t="str">
        <x:v>Pending full-text extraction</x:v>
      </x:c>
      <x:c r="M39" s="63" t="str">
        <x:v>cross-domain optimization</x:v>
      </x:c>
      <x:c r="N39" s="63" t="str">
        <x:v>static/offline or not stated</x:v>
      </x:c>
      <x:c r="O39" s="63" t="str"/>
      <x:c r="P39" s="63" t="str"/>
      <x:c r="Q39" s="63" t="str"/>
      <x:c r="R39" s="63" t="str"/>
      <x:c r="S39" s="63" t="str"/>
      <x:c r="T39" s="63" t="str"/>
      <x:c r="U39" s="63" t="str">
        <x:v>mechanism-transfer candidate</x:v>
      </x:c>
      <x:c r="V39" s="63" t="str">
        <x:v>scheduling/metaheuristic</x:v>
      </x:c>
      <x:c r="W39" s="63" t="str"/>
      <x:c r="X39" s="63" t="str">
        <x:v>Frozen-query match: S2; source queries: S2</x:v>
      </x:c>
      <x:c r="Y39" s="63" t="str"/>
      <x:c r="Z39" s="63" t="str"/>
      <x:c r="AA39" s="63" t="str"/>
      <x:c r="AB39" s="63" t="str"/>
      <x:c r="AC39" s="63" t="str"/>
      <x:c r="AD39" s="63" t="str"/>
      <x:c r="AE39" s="63" t="str"/>
      <x:c r="AF39" s="63" t="str"/>
      <x:c r="AG39" s="63" t="str"/>
      <x:c r="AH39" s="63" t="str"/>
      <x:c r="AI39" s="63" t="str"/>
      <x:c r="AJ39" s="63" t="str"/>
      <x:c r="AK39" s="63" t="str"/>
      <x:c r="AL39" s="63" t="str"/>
      <x:c r="AM39" s="63" t="str"/>
      <x:c r="AN39" s="63" t="str"/>
      <x:c r="AO39" s="63" t="str"/>
      <x:c r="AP39" s="63" t="str"/>
      <x:c r="AQ39" s="63" t="str"/>
      <x:c r="AR39" s="63" t="str"/>
      <x:c r="AS39" s="63" t="str"/>
      <x:c r="AT39" s="63" t="str">
        <x:v>This study presents a hybrid metaheuristic for the resource-constrained project scheduling problem (RCPSP), which integrates a genetic algorithm (GA) and a neighborhood search strategy (NS). The RCPSP consists of a set of activities that follow precedence relationship and consume resources. The resources are renewable, and the amount of the resources is limited. The objective of RCPSP is to find a schedule of the activities to minimize the project makespan. The algorithm uses two crossovers in the GA and two neighborhoods in the NS, as well as a resource ranking heuristic. The computational re</x:v>
      </x:c>
      <x:c r="AU39" s="63" t="str">
        <x:v>No full-text direct evidence extracted in step 4.</x:v>
      </x:c>
      <x:c r="AV39" s="63" t="str">
        <x:v>Preliminary relevance inference: meets all concept groups for S2.</x:v>
      </x:c>
      <x:c r="AW39" s="63" t="str">
        <x:v>Title/abstract screening cannot establish implementation identity, novelty, or performance comparability.</x:v>
      </x:c>
      <x:c r="AX39" s="63" t="str">
        <x:v>Verify original full text, method details, experimental budget, and six comparability dimensions.</x:v>
      </x:c>
      <x:c r="AY39" s="63" t="str">
        <x:v>unresolved</x:v>
      </x:c>
      <x:c r="AZ39" s="63" t="str">
        <x:v>indirect</x:v>
      </x:c>
      <x:c r="BA39" s="63" t="str">
        <x:v>Title/abstract screened; full-text pending</x:v>
      </x:c>
      <x:c r="BB39" s="63">
        <x:f>IF(COUNTA(B39:BC39)=0,"",IF(A39="","MISSING ID",IFERROR(IF(AND(LEFT(A39,1)="L",ISNUMBER(SEARCH("-E",A39))),"OK","CHECK ID"),"CHECK ID")))</x:f>
      </x:c>
    </x:row>
    <x:row r="40" ht="48" customHeight="1">
      <x:c r="A40" s="62" t="str">
        <x:v>L064-E01</x:v>
      </x:c>
      <x:c r="B40" s="62" t="str">
        <x:v>L064</x:v>
      </x:c>
      <x:c r="C40" s="62" t="str">
        <x:v>OpenAlex S3; title+abstract</x:v>
      </x:c>
      <x:c r="D40" s="62" t="str">
        <x:v>Database abstract available</x:v>
      </x:c>
      <x:c r="E40" s="62" t="str">
        <x:v>transferable search-control mechanism</x:v>
      </x:c>
      <x:c r="F40" s="62" t="str">
        <x:v>routing/transport</x:v>
      </x:c>
      <x:c r="G40" s="62" t="str">
        <x:v>neighborhood/operator/heuristic selection</x:v>
      </x:c>
      <x:c r="H40" s="62" t="str">
        <x:v>problem entities not yet extracted</x:v>
      </x:c>
      <x:c r="I40" s="62" t="str">
        <x:v>Pending full-text extraction</x:v>
      </x:c>
      <x:c r="J40" s="62" t="str">
        <x:v>Pending full-text extraction</x:v>
      </x:c>
      <x:c r="K40" s="62" t="str">
        <x:v>Pending full-text extraction</x:v>
      </x:c>
      <x:c r="L40" s="62" t="str">
        <x:v>Pending full-text extraction</x:v>
      </x:c>
      <x:c r="M40" s="62" t="str">
        <x:v>routing/transport</x:v>
      </x:c>
      <x:c r="N40" s="62" t="str">
        <x:v>dynamic/online</x:v>
      </x:c>
      <x:c r="O40" s="62" t="str"/>
      <x:c r="P40" s="62" t="str"/>
      <x:c r="Q40" s="62" t="str"/>
      <x:c r="R40" s="62" t="str"/>
      <x:c r="S40" s="62" t="str"/>
      <x:c r="T40" s="62" t="str"/>
      <x:c r="U40" s="62" t="str">
        <x:v>mechanism-transfer candidate</x:v>
      </x:c>
      <x:c r="V40" s="62" t="str">
        <x:v>RL hyper-heuristic</x:v>
      </x:c>
      <x:c r="W40" s="62" t="str"/>
      <x:c r="X40" s="62" t="str">
        <x:v>Frozen-query match: S3,S5; source queries: S3</x:v>
      </x:c>
      <x:c r="Y40" s="62" t="str"/>
      <x:c r="Z40" s="62" t="str"/>
      <x:c r="AA40" s="62" t="str"/>
      <x:c r="AB40" s="62" t="str"/>
      <x:c r="AC40" s="62" t="str"/>
      <x:c r="AD40" s="62" t="str"/>
      <x:c r="AE40" s="62" t="str"/>
      <x:c r="AF40" s="62" t="str"/>
      <x:c r="AG40" s="62" t="str"/>
      <x:c r="AH40" s="62" t="str"/>
      <x:c r="AI40" s="62" t="str"/>
      <x:c r="AJ40" s="62" t="str"/>
      <x:c r="AK40" s="62" t="str"/>
      <x:c r="AL40" s="62" t="str"/>
      <x:c r="AM40" s="62" t="str"/>
      <x:c r="AN40" s="62" t="str"/>
      <x:c r="AO40" s="62" t="str"/>
      <x:c r="AP40" s="62" t="str"/>
      <x:c r="AQ40" s="62" t="str"/>
      <x:c r="AR40" s="62" t="str"/>
      <x:c r="AS40" s="62" t="str"/>
      <x:c r="AT40" s="62" t="str">
        <x:v>This paper proposes a novel Hybrid Metaheuristic Framework (HMF) that integrates multiple optimization strategies within a self-adaptive mechanism for solving large-scale combinatorial problems. Unlike traditional metaheuristics, which rely on fixed algorithmic parameters and predefined strategies, HMF dynamically selects and adjusts heuristic operators using a reinforcement learning-based adaptive mechanism. Specifically, the framework employs Deep Q-Learning to guide real-time parameter tuning and metaheuristic selection based on performance feedback from the optimization process. The study </x:v>
      </x:c>
      <x:c r="AU40" s="62" t="str">
        <x:v>No full-text direct evidence extracted in step 4.</x:v>
      </x:c>
      <x:c r="AV40" s="62" t="str">
        <x:v>Preliminary relevance inference: meets all concept groups for S3, S5.</x:v>
      </x:c>
      <x:c r="AW40" s="62" t="str">
        <x:v>Title/abstract screening cannot establish implementation identity, novelty, or performance comparability.</x:v>
      </x:c>
      <x:c r="AX40" s="62" t="str">
        <x:v>Verify original full text, method details, experimental budget, and six comparability dimensions.</x:v>
      </x:c>
      <x:c r="AY40" s="62" t="str">
        <x:v>unresolved</x:v>
      </x:c>
      <x:c r="AZ40" s="62" t="str">
        <x:v>indirect</x:v>
      </x:c>
      <x:c r="BA40" s="62" t="str">
        <x:v>Title/abstract screened; full-text pending</x:v>
      </x:c>
      <x:c r="BB40" s="62">
        <x:f>IF(COUNTA(B40:BC40)=0,"",IF(A40="","MISSING ID",IFERROR(IF(AND(LEFT(A40,1)="L",ISNUMBER(SEARCH("-E",A40))),"OK","CHECK ID"),"CHECK ID")))</x:f>
      </x:c>
    </x:row>
    <x:row r="41" ht="48" customHeight="1">
      <x:c r="A41" s="63" t="str">
        <x:v>L065-E01</x:v>
      </x:c>
      <x:c r="B41" s="63" t="str">
        <x:v>L065</x:v>
      </x:c>
      <x:c r="C41" s="63" t="str">
        <x:v>OpenAlex-S6-trace S6; title+abstract</x:v>
      </x:c>
      <x:c r="D41" s="63" t="str">
        <x:v>Database abstract available</x:v>
      </x:c>
      <x:c r="E41" s="63" t="str">
        <x:v>transferable search-control mechanism</x:v>
      </x:c>
      <x:c r="F41" s="63" t="str">
        <x:v>cross-domain optimization</x:v>
      </x:c>
      <x:c r="G41" s="63" t="str">
        <x:v>neighborhood/operator/heuristic selection</x:v>
      </x:c>
      <x:c r="H41" s="63" t="str">
        <x:v>problem entities not yet extracted</x:v>
      </x:c>
      <x:c r="I41" s="63" t="str">
        <x:v>Pending full-text extraction</x:v>
      </x:c>
      <x:c r="J41" s="63" t="str">
        <x:v>Pending full-text extraction</x:v>
      </x:c>
      <x:c r="K41" s="63" t="str">
        <x:v>Pending full-text extraction</x:v>
      </x:c>
      <x:c r="L41" s="63" t="str">
        <x:v>Pending full-text extraction</x:v>
      </x:c>
      <x:c r="M41" s="63" t="str">
        <x:v>cross-domain optimization</x:v>
      </x:c>
      <x:c r="N41" s="63" t="str">
        <x:v>dynamic/online</x:v>
      </x:c>
      <x:c r="O41" s="63" t="str"/>
      <x:c r="P41" s="63" t="str"/>
      <x:c r="Q41" s="63" t="str"/>
      <x:c r="R41" s="63" t="str"/>
      <x:c r="S41" s="63" t="str"/>
      <x:c r="T41" s="63" t="str"/>
      <x:c r="U41" s="63" t="str">
        <x:v>mechanism-transfer candidate</x:v>
      </x:c>
      <x:c r="V41" s="63" t="str">
        <x:v>adaptive operator selection</x:v>
      </x:c>
      <x:c r="W41" s="63" t="str"/>
      <x:c r="X41" s="63" t="str">
        <x:v>Frozen-query match: S3; source queries: S6</x:v>
      </x:c>
      <x:c r="Y41" s="63" t="str"/>
      <x:c r="Z41" s="63" t="str"/>
      <x:c r="AA41" s="63" t="str"/>
      <x:c r="AB41" s="63" t="str"/>
      <x:c r="AC41" s="63" t="str"/>
      <x:c r="AD41" s="63" t="str"/>
      <x:c r="AE41" s="63" t="str"/>
      <x:c r="AF41" s="63" t="str"/>
      <x:c r="AG41" s="63" t="str"/>
      <x:c r="AH41" s="63" t="str"/>
      <x:c r="AI41" s="63" t="str"/>
      <x:c r="AJ41" s="63" t="str"/>
      <x:c r="AK41" s="63" t="str"/>
      <x:c r="AL41" s="63" t="str"/>
      <x:c r="AM41" s="63" t="str"/>
      <x:c r="AN41" s="63" t="str"/>
      <x:c r="AO41" s="63" t="str"/>
      <x:c r="AP41" s="63" t="str"/>
      <x:c r="AQ41" s="63" t="str"/>
      <x:c r="AR41" s="63" t="str"/>
      <x:c r="AS41" s="63" t="str"/>
      <x:c r="AT41" s="63" t="str">
        <x:v>There is a significant imbalance between air traffic demand and airport capacity at many congested airports. As a result, airlines are required to request time slots for aircraft take-off or landing. The effective allocation of slots forms the basis of the single airport slot allocation problem. A significant amount of existing research on this problem focuses on mathematical modelling and exact solution methods for relatively small-scale problem instances. As the computational effort required for such approaches can be prohibitive as the size of a problem increases, heuristic search methods a</x:v>
      </x:c>
      <x:c r="AU41" s="63" t="str">
        <x:v>No full-text direct evidence extracted in step 4.</x:v>
      </x:c>
      <x:c r="AV41" s="63" t="str">
        <x:v>Preliminary relevance inference: meets all concept groups for S3.</x:v>
      </x:c>
      <x:c r="AW41" s="63" t="str">
        <x:v>Title/abstract screening cannot establish implementation identity, novelty, or performance comparability.</x:v>
      </x:c>
      <x:c r="AX41" s="63" t="str">
        <x:v>Verify original full text, method details, experimental budget, and six comparability dimensions.</x:v>
      </x:c>
      <x:c r="AY41" s="63" t="str">
        <x:v>unresolved</x:v>
      </x:c>
      <x:c r="AZ41" s="63" t="str">
        <x:v>indirect</x:v>
      </x:c>
      <x:c r="BA41" s="63" t="str">
        <x:v>Title/abstract screened; full-text pending</x:v>
      </x:c>
      <x:c r="BB41" s="63">
        <x:f>IF(COUNTA(B41:BC41)=0,"",IF(A41="","MISSING ID",IFERROR(IF(AND(LEFT(A41,1)="L",ISNUMBER(SEARCH("-E",A41))),"OK","CHECK ID"),"CHECK ID")))</x:f>
      </x:c>
    </x:row>
    <x:row r="42" ht="48" customHeight="1">
      <x:c r="A42" s="62" t="str">
        <x:v>L066-E01</x:v>
      </x:c>
      <x:c r="B42" s="62" t="str">
        <x:v>L066</x:v>
      </x:c>
      <x:c r="C42" s="62" t="str">
        <x:v>OpenAlex-S6-trace S6; title+abstract</x:v>
      </x:c>
      <x:c r="D42" s="62" t="str">
        <x:v>Database abstract available</x:v>
      </x:c>
      <x:c r="E42" s="62" t="str">
        <x:v>transferable search-control mechanism</x:v>
      </x:c>
      <x:c r="F42" s="62" t="str">
        <x:v>cross-domain optimization</x:v>
      </x:c>
      <x:c r="G42" s="62" t="str">
        <x:v>neighborhood/operator/heuristic selection</x:v>
      </x:c>
      <x:c r="H42" s="62" t="str">
        <x:v>problem entities not yet extracted</x:v>
      </x:c>
      <x:c r="I42" s="62" t="str">
        <x:v>Pending full-text extraction</x:v>
      </x:c>
      <x:c r="J42" s="62" t="str">
        <x:v>Pending full-text extraction</x:v>
      </x:c>
      <x:c r="K42" s="62" t="str">
        <x:v>Pending full-text extraction</x:v>
      </x:c>
      <x:c r="L42" s="62" t="str">
        <x:v>Pending full-text extraction</x:v>
      </x:c>
      <x:c r="M42" s="62" t="str">
        <x:v>cross-domain optimization</x:v>
      </x:c>
      <x:c r="N42" s="62" t="str">
        <x:v>static/offline or not stated</x:v>
      </x:c>
      <x:c r="O42" s="62" t="str"/>
      <x:c r="P42" s="62" t="str"/>
      <x:c r="Q42" s="62" t="str"/>
      <x:c r="R42" s="62" t="str"/>
      <x:c r="S42" s="62" t="str"/>
      <x:c r="T42" s="62" t="str"/>
      <x:c r="U42" s="62" t="str">
        <x:v>mechanism-transfer candidate</x:v>
      </x:c>
      <x:c r="V42" s="62" t="str">
        <x:v>adaptive operator selection</x:v>
      </x:c>
      <x:c r="W42" s="62" t="str"/>
      <x:c r="X42" s="62" t="str">
        <x:v>Frozen-query match: S3; source queries: S6</x:v>
      </x:c>
      <x:c r="Y42" s="62" t="str"/>
      <x:c r="Z42" s="62" t="str"/>
      <x:c r="AA42" s="62" t="str"/>
      <x:c r="AB42" s="62" t="str"/>
      <x:c r="AC42" s="62" t="str"/>
      <x:c r="AD42" s="62" t="str"/>
      <x:c r="AE42" s="62" t="str"/>
      <x:c r="AF42" s="62" t="str"/>
      <x:c r="AG42" s="62" t="str"/>
      <x:c r="AH42" s="62" t="str"/>
      <x:c r="AI42" s="62" t="str"/>
      <x:c r="AJ42" s="62" t="str"/>
      <x:c r="AK42" s="62" t="str"/>
      <x:c r="AL42" s="62" t="str"/>
      <x:c r="AM42" s="62" t="str"/>
      <x:c r="AN42" s="62" t="str"/>
      <x:c r="AO42" s="62" t="str"/>
      <x:c r="AP42" s="62" t="str"/>
      <x:c r="AQ42" s="62" t="str"/>
      <x:c r="AR42" s="62" t="str"/>
      <x:c r="AS42" s="62" t="str"/>
      <x:c r="AT42" s="62" t="str">
        <x:v>Combinatorial optimization problems are inherently complex and difficult to solve. Although evolutionary and swarm intelligence algorithms have proven effectiveness, achieving an optimal balance between exploration and exploitation (EvE) remains a significant challenge. The growing trend of employing multiple operators with adaptive operator selection schemes aims to address EvE issues; however, there remains a significant demand for utilizing tailored adaptive selection schemes in search. Reinforcement Learning (RL) has recently been proposed as an efficient technique to customize and develop</x:v>
      </x:c>
      <x:c r="AU42" s="62" t="str">
        <x:v>No full-text direct evidence extracted in step 4.</x:v>
      </x:c>
      <x:c r="AV42" s="62" t="str">
        <x:v>Preliminary relevance inference: meets all concept groups for S3.</x:v>
      </x:c>
      <x:c r="AW42" s="62" t="str">
        <x:v>Title/abstract screening cannot establish implementation identity, novelty, or performance comparability.</x:v>
      </x:c>
      <x:c r="AX42" s="62" t="str">
        <x:v>Verify original full text, method details, experimental budget, and six comparability dimensions.</x:v>
      </x:c>
      <x:c r="AY42" s="62" t="str">
        <x:v>unresolved</x:v>
      </x:c>
      <x:c r="AZ42" s="62" t="str">
        <x:v>indirect</x:v>
      </x:c>
      <x:c r="BA42" s="62" t="str">
        <x:v>Title/abstract screened; full-text pending</x:v>
      </x:c>
      <x:c r="BB42" s="62">
        <x:f>IF(COUNTA(B42:BC42)=0,"",IF(A42="","MISSING ID",IFERROR(IF(AND(LEFT(A42,1)="L",ISNUMBER(SEARCH("-E",A42))),"OK","CHECK ID"),"CHECK ID")))</x:f>
      </x:c>
    </x:row>
    <x:row r="43" ht="48" customHeight="1">
      <x:c r="A43" s="63" t="str">
        <x:v>L067-E01</x:v>
      </x:c>
      <x:c r="B43" s="63" t="str">
        <x:v>L067</x:v>
      </x:c>
      <x:c r="C43" s="63" t="str">
        <x:v>OpenAlex-S6-trace S6; title+metadata</x:v>
      </x:c>
      <x:c r="D43" s="63" t="str">
        <x:v>Abstract unavailable</x:v>
      </x:c>
      <x:c r="E43" s="63" t="str">
        <x:v>transferable search-control mechanism</x:v>
      </x:c>
      <x:c r="F43" s="63" t="str">
        <x:v>routing/transport</x:v>
      </x:c>
      <x:c r="G43" s="63" t="str">
        <x:v>neighborhood/operator/heuristic selection</x:v>
      </x:c>
      <x:c r="H43" s="63" t="str">
        <x:v>problem entities not yet extracted</x:v>
      </x:c>
      <x:c r="I43" s="63" t="str">
        <x:v>Pending full-text extraction</x:v>
      </x:c>
      <x:c r="J43" s="63" t="str">
        <x:v>Pending full-text extraction</x:v>
      </x:c>
      <x:c r="K43" s="63" t="str">
        <x:v>Pending full-text extraction</x:v>
      </x:c>
      <x:c r="L43" s="63" t="str">
        <x:v>Pending full-text extraction</x:v>
      </x:c>
      <x:c r="M43" s="63" t="str">
        <x:v>routing/transport</x:v>
      </x:c>
      <x:c r="N43" s="63" t="str">
        <x:v>dynamic/online</x:v>
      </x:c>
      <x:c r="O43" s="63" t="str"/>
      <x:c r="P43" s="63" t="str"/>
      <x:c r="Q43" s="63" t="str"/>
      <x:c r="R43" s="63" t="str"/>
      <x:c r="S43" s="63" t="str"/>
      <x:c r="T43" s="63" t="str"/>
      <x:c r="U43" s="63" t="str">
        <x:v>mechanism-transfer candidate</x:v>
      </x:c>
      <x:c r="V43" s="63" t="str">
        <x:v>RL hyper-heuristic</x:v>
      </x:c>
      <x:c r="W43" s="63" t="str"/>
      <x:c r="X43" s="63" t="str">
        <x:v>Frozen-query match: S3,S5; source queries: S6</x:v>
      </x:c>
      <x:c r="Y43" s="63" t="str"/>
      <x:c r="Z43" s="63" t="str"/>
      <x:c r="AA43" s="63" t="str"/>
      <x:c r="AB43" s="63" t="str"/>
      <x:c r="AC43" s="63" t="str"/>
      <x:c r="AD43" s="63" t="str"/>
      <x:c r="AE43" s="63" t="str"/>
      <x:c r="AF43" s="63" t="str"/>
      <x:c r="AG43" s="63" t="str"/>
      <x:c r="AH43" s="63" t="str"/>
      <x:c r="AI43" s="63" t="str"/>
      <x:c r="AJ43" s="63" t="str"/>
      <x:c r="AK43" s="63" t="str"/>
      <x:c r="AL43" s="63" t="str"/>
      <x:c r="AM43" s="63" t="str"/>
      <x:c r="AN43" s="63" t="str"/>
      <x:c r="AO43" s="63" t="str"/>
      <x:c r="AP43" s="63" t="str"/>
      <x:c r="AQ43" s="63" t="str"/>
      <x:c r="AR43" s="63" t="str"/>
      <x:c r="AS43" s="63" t="str"/>
      <x:c r="AT43" s="63" t="str">
        <x:v>No abstract retrieved; no author conclusion extracted.</x:v>
      </x:c>
      <x:c r="AU43" s="63" t="str">
        <x:v>No full-text direct evidence extracted in step 4.</x:v>
      </x:c>
      <x:c r="AV43" s="63" t="str">
        <x:v>Preliminary relevance inference: meets all concept groups for S3, S5.</x:v>
      </x:c>
      <x:c r="AW43" s="63" t="str">
        <x:v>Title/abstract screening cannot establish implementation identity, novelty, or performance comparability.</x:v>
      </x:c>
      <x:c r="AX43" s="63" t="str">
        <x:v>Verify original full text, method details, experimental budget, and six comparability dimensions.</x:v>
      </x:c>
      <x:c r="AY43" s="63" t="str">
        <x:v>unresolved</x:v>
      </x:c>
      <x:c r="AZ43" s="63" t="str">
        <x:v>indirect</x:v>
      </x:c>
      <x:c r="BA43" s="63" t="str">
        <x:v>Title/abstract screened; full-text pending</x:v>
      </x:c>
      <x:c r="BB43" s="63">
        <x:f>IF(COUNTA(B43:BC43)=0,"",IF(A43="","MISSING ID",IFERROR(IF(AND(LEFT(A43,1)="L",ISNUMBER(SEARCH("-E",A43))),"OK","CHECK ID"),"CHECK ID")))</x:f>
      </x:c>
    </x:row>
    <x:row r="44" ht="48" customHeight="1">
      <x:c r="A44" s="62" t="str">
        <x:v>L068-E01</x:v>
      </x:c>
      <x:c r="B44" s="62" t="str">
        <x:v>L068</x:v>
      </x:c>
      <x:c r="C44" s="62" t="str">
        <x:v>OpenAlex-S6-trace S6; title+abstract</x:v>
      </x:c>
      <x:c r="D44" s="62" t="str">
        <x:v>Database abstract available</x:v>
      </x:c>
      <x:c r="E44" s="62" t="str">
        <x:v>transferable search-control mechanism</x:v>
      </x:c>
      <x:c r="F44" s="62" t="str">
        <x:v>cross-domain optimization</x:v>
      </x:c>
      <x:c r="G44" s="62" t="str">
        <x:v>neighborhood/operator/heuristic selection</x:v>
      </x:c>
      <x:c r="H44" s="62" t="str">
        <x:v>problem entities not yet extracted</x:v>
      </x:c>
      <x:c r="I44" s="62" t="str">
        <x:v>Pending full-text extraction</x:v>
      </x:c>
      <x:c r="J44" s="62" t="str">
        <x:v>Pending full-text extraction</x:v>
      </x:c>
      <x:c r="K44" s="62" t="str">
        <x:v>Pending full-text extraction</x:v>
      </x:c>
      <x:c r="L44" s="62" t="str">
        <x:v>Pending full-text extraction</x:v>
      </x:c>
      <x:c r="M44" s="62" t="str">
        <x:v>cross-domain optimization</x:v>
      </x:c>
      <x:c r="N44" s="62" t="str">
        <x:v>static/offline or not stated</x:v>
      </x:c>
      <x:c r="O44" s="62" t="str"/>
      <x:c r="P44" s="62" t="str"/>
      <x:c r="Q44" s="62" t="str"/>
      <x:c r="R44" s="62" t="str"/>
      <x:c r="S44" s="62" t="str"/>
      <x:c r="T44" s="62" t="str"/>
      <x:c r="U44" s="62" t="str">
        <x:v>mechanism-transfer candidate</x:v>
      </x:c>
      <x:c r="V44" s="62" t="str">
        <x:v>RL hyper-heuristic</x:v>
      </x:c>
      <x:c r="W44" s="62" t="str"/>
      <x:c r="X44" s="62" t="str">
        <x:v>Frozen-query match: S3,S5; source queries: S6</x:v>
      </x:c>
      <x:c r="Y44" s="62" t="str"/>
      <x:c r="Z44" s="62" t="str"/>
      <x:c r="AA44" s="62" t="str"/>
      <x:c r="AB44" s="62" t="str"/>
      <x:c r="AC44" s="62" t="str"/>
      <x:c r="AD44" s="62" t="str"/>
      <x:c r="AE44" s="62" t="str"/>
      <x:c r="AF44" s="62" t="str"/>
      <x:c r="AG44" s="62" t="str"/>
      <x:c r="AH44" s="62" t="str"/>
      <x:c r="AI44" s="62" t="str"/>
      <x:c r="AJ44" s="62" t="str"/>
      <x:c r="AK44" s="62" t="str"/>
      <x:c r="AL44" s="62" t="str"/>
      <x:c r="AM44" s="62" t="str"/>
      <x:c r="AN44" s="62" t="str"/>
      <x:c r="AO44" s="62" t="str"/>
      <x:c r="AP44" s="62" t="str"/>
      <x:c r="AQ44" s="62" t="str"/>
      <x:c r="AR44" s="62" t="str"/>
      <x:c r="AS44" s="62" t="str"/>
      <x:c r="AT44" s="62" t="str">
        <x:v>• Integrating dock mode, truck assignment, and scheduling improves operational efficiency • Unmanned warehouse operations benefit significantly from mixed service mode docks • Q-learning enhances operator selection efficiency in Adaptive Large Neighborhood Search • Optimal operators and selection mechanisms significantly improve algorithm performance Mixed service mode (MSM) docks enhance efficiency by flexibly handling both loading and unloading trucks in warehouses. However, existing research often predefines the number and location of MSM docks prior to planning truck assignment and sequenc</x:v>
      </x:c>
      <x:c r="AU44" s="62" t="str">
        <x:v>No full-text direct evidence extracted in step 4.</x:v>
      </x:c>
      <x:c r="AV44" s="62" t="str">
        <x:v>Preliminary relevance inference: meets all concept groups for S3, S5.</x:v>
      </x:c>
      <x:c r="AW44" s="62" t="str">
        <x:v>Title/abstract screening cannot establish implementation identity, novelty, or performance comparability.</x:v>
      </x:c>
      <x:c r="AX44" s="62" t="str">
        <x:v>Verify original full text, method details, experimental budget, and six comparability dimensions.</x:v>
      </x:c>
      <x:c r="AY44" s="62" t="str">
        <x:v>unresolved</x:v>
      </x:c>
      <x:c r="AZ44" s="62" t="str">
        <x:v>indirect</x:v>
      </x:c>
      <x:c r="BA44" s="62" t="str">
        <x:v>Title/abstract screened; full-text pending</x:v>
      </x:c>
      <x:c r="BB44" s="62">
        <x:f>IF(COUNTA(B44:BC44)=0,"",IF(A44="","MISSING ID",IFERROR(IF(AND(LEFT(A44,1)="L",ISNUMBER(SEARCH("-E",A44))),"OK","CHECK ID"),"CHECK ID")))</x:f>
      </x:c>
    </x:row>
    <x:row r="45" ht="48" customHeight="1">
      <x:c r="A45" s="63" t="str">
        <x:v>L069-E01</x:v>
      </x:c>
      <x:c r="B45" s="63" t="str">
        <x:v>L069</x:v>
      </x:c>
      <x:c r="C45" s="63" t="str">
        <x:v>OpenAlex S5; title+abstract</x:v>
      </x:c>
      <x:c r="D45" s="63" t="str">
        <x:v>Database abstract available</x:v>
      </x:c>
      <x:c r="E45" s="63" t="str">
        <x:v>shop scheduling mechanism</x:v>
      </x:c>
      <x:c r="F45" s="63" t="str">
        <x:v>workshop</x:v>
      </x:c>
      <x:c r="G45" s="63" t="str">
        <x:v>neighborhood/operator/heuristic selection</x:v>
      </x:c>
      <x:c r="H45" s="63" t="str">
        <x:v>problem entities not yet extracted</x:v>
      </x:c>
      <x:c r="I45" s="63" t="str">
        <x:v>Pending full-text extraction</x:v>
      </x:c>
      <x:c r="J45" s="63" t="str">
        <x:v>Pending full-text extraction</x:v>
      </x:c>
      <x:c r="K45" s="63" t="str">
        <x:v>Pending full-text extraction</x:v>
      </x:c>
      <x:c r="L45" s="63" t="str">
        <x:v>Pending full-text extraction</x:v>
      </x:c>
      <x:c r="M45" s="63" t="str">
        <x:v>workshop</x:v>
      </x:c>
      <x:c r="N45" s="63" t="str">
        <x:v>static/offline or not stated</x:v>
      </x:c>
      <x:c r="O45" s="63" t="str"/>
      <x:c r="P45" s="63" t="str"/>
      <x:c r="Q45" s="63" t="str"/>
      <x:c r="R45" s="63" t="str"/>
      <x:c r="S45" s="63" t="str"/>
      <x:c r="T45" s="63" t="str"/>
      <x:c r="U45" s="63" t="str">
        <x:v>mechanism-transfer candidate</x:v>
      </x:c>
      <x:c r="V45" s="63" t="str">
        <x:v>RL hyper-heuristic</x:v>
      </x:c>
      <x:c r="W45" s="63" t="str"/>
      <x:c r="X45" s="63" t="str">
        <x:v>Frozen-query match: S3,S5; source queries: S5</x:v>
      </x:c>
      <x:c r="Y45" s="63" t="str"/>
      <x:c r="Z45" s="63" t="str"/>
      <x:c r="AA45" s="63" t="str"/>
      <x:c r="AB45" s="63" t="str"/>
      <x:c r="AC45" s="63" t="str"/>
      <x:c r="AD45" s="63" t="str"/>
      <x:c r="AE45" s="63" t="str"/>
      <x:c r="AF45" s="63" t="str"/>
      <x:c r="AG45" s="63" t="str"/>
      <x:c r="AH45" s="63" t="str"/>
      <x:c r="AI45" s="63" t="str"/>
      <x:c r="AJ45" s="63" t="str"/>
      <x:c r="AK45" s="63" t="str"/>
      <x:c r="AL45" s="63" t="str"/>
      <x:c r="AM45" s="63" t="str"/>
      <x:c r="AN45" s="63" t="str"/>
      <x:c r="AO45" s="63" t="str"/>
      <x:c r="AP45" s="63" t="str"/>
      <x:c r="AQ45" s="63" t="str"/>
      <x:c r="AR45" s="63" t="str"/>
      <x:c r="AS45" s="63" t="str"/>
      <x:c r="AT45" s="63" t="str">
        <x:v>Currently, supply chain operations face enormous challenges due to complex manufacturing processes and distribution activities. This work proposes a multi-objective integrated energy-efficient scheduling and routing method for a distributed flexible job shop with multiple vehicles to minimize job completion time, total energy consumption, and workload of factories. Firstly, a mixed integer programming model is formulized. Secondly, a knowledge-and-learning-based hyper-heuristic algorithm is developed to solve the model. It innovatively incorporates a Q-learning method to choose a search method</x:v>
      </x:c>
      <x:c r="AU45" s="63" t="str">
        <x:v>No full-text direct evidence extracted in step 4.</x:v>
      </x:c>
      <x:c r="AV45" s="63" t="str">
        <x:v>Preliminary relevance inference: meets all concept groups for S3, S5.</x:v>
      </x:c>
      <x:c r="AW45" s="63" t="str">
        <x:v>Title/abstract screening cannot establish implementation identity, novelty, or performance comparability.</x:v>
      </x:c>
      <x:c r="AX45" s="63" t="str">
        <x:v>Verify original full text, method details, experimental budget, and six comparability dimensions.</x:v>
      </x:c>
      <x:c r="AY45" s="63" t="str">
        <x:v>unresolved</x:v>
      </x:c>
      <x:c r="AZ45" s="63" t="str">
        <x:v>indirect</x:v>
      </x:c>
      <x:c r="BA45" s="63" t="str">
        <x:v>Title/abstract screened; full-text pending</x:v>
      </x:c>
      <x:c r="BB45" s="63">
        <x:f>IF(COUNTA(B45:BC45)=0,"",IF(A45="","MISSING ID",IFERROR(IF(AND(LEFT(A45,1)="L",ISNUMBER(SEARCH("-E",A45))),"OK","CHECK ID"),"CHECK ID")))</x:f>
      </x:c>
    </x:row>
    <x:row r="46" ht="48" customHeight="1">
      <x:c r="A46" s="62" t="str">
        <x:v>L070-E01</x:v>
      </x:c>
      <x:c r="B46" s="62" t="str">
        <x:v>L070</x:v>
      </x:c>
      <x:c r="C46" s="62" t="str">
        <x:v>OpenAlex-S6-trace S6; title+abstract</x:v>
      </x:c>
      <x:c r="D46" s="62" t="str">
        <x:v>Database abstract available</x:v>
      </x:c>
      <x:c r="E46" s="62" t="str">
        <x:v>shop scheduling mechanism</x:v>
      </x:c>
      <x:c r="F46" s="62" t="str">
        <x:v>workshop</x:v>
      </x:c>
      <x:c r="G46" s="62" t="str">
        <x:v>neighborhood/operator/heuristic selection</x:v>
      </x:c>
      <x:c r="H46" s="62" t="str">
        <x:v>problem entities not yet extracted</x:v>
      </x:c>
      <x:c r="I46" s="62" t="str">
        <x:v>Pending full-text extraction</x:v>
      </x:c>
      <x:c r="J46" s="62" t="str">
        <x:v>Pending full-text extraction</x:v>
      </x:c>
      <x:c r="K46" s="62" t="str">
        <x:v>Pending full-text extraction</x:v>
      </x:c>
      <x:c r="L46" s="62" t="str">
        <x:v>Pending full-text extraction</x:v>
      </x:c>
      <x:c r="M46" s="62" t="str">
        <x:v>workshop</x:v>
      </x:c>
      <x:c r="N46" s="62" t="str">
        <x:v>dynamic/online</x:v>
      </x:c>
      <x:c r="O46" s="62" t="str"/>
      <x:c r="P46" s="62" t="str"/>
      <x:c r="Q46" s="62" t="str"/>
      <x:c r="R46" s="62" t="str"/>
      <x:c r="S46" s="62" t="str"/>
      <x:c r="T46" s="62" t="str"/>
      <x:c r="U46" s="62" t="str">
        <x:v>mechanism-transfer candidate</x:v>
      </x:c>
      <x:c r="V46" s="62" t="str">
        <x:v>adaptive operator selection</x:v>
      </x:c>
      <x:c r="W46" s="62" t="str"/>
      <x:c r="X46" s="62" t="str">
        <x:v>Frozen-query match: S3; source queries: S6</x:v>
      </x:c>
      <x:c r="Y46" s="62" t="str"/>
      <x:c r="Z46" s="62" t="str"/>
      <x:c r="AA46" s="62" t="str"/>
      <x:c r="AB46" s="62" t="str"/>
      <x:c r="AC46" s="62" t="str"/>
      <x:c r="AD46" s="62" t="str"/>
      <x:c r="AE46" s="62" t="str"/>
      <x:c r="AF46" s="62" t="str"/>
      <x:c r="AG46" s="62" t="str"/>
      <x:c r="AH46" s="62" t="str"/>
      <x:c r="AI46" s="62" t="str"/>
      <x:c r="AJ46" s="62" t="str"/>
      <x:c r="AK46" s="62" t="str"/>
      <x:c r="AL46" s="62" t="str"/>
      <x:c r="AM46" s="62" t="str"/>
      <x:c r="AN46" s="62" t="str"/>
      <x:c r="AO46" s="62" t="str"/>
      <x:c r="AP46" s="62" t="str"/>
      <x:c r="AQ46" s="62" t="str"/>
      <x:c r="AR46" s="62" t="str"/>
      <x:c r="AS46" s="62" t="str"/>
      <x:c r="AT46" s="62" t="str">
        <x:v>Multi-objective dynamic flexible job shop scheduling (MO-DFJSS) is increasingly recognized as a critical challenge in manufacturing and production systems due to the dynamic and complex nature of real-world scenarios. Traditional approaches often fail to adequately address the dynamic and conflicting objectives inherent in these systems. Genetic Programming (GP) as a hyper-heuristic method has shown promise in DFJSS; however, the studies of GP for MO-DFJSS are still with limitations. The current NSGP-II algorithm incorporates the Non-dominated Sorting Algorithm II (NSGA-II) into GP. However, i</x:v>
      </x:c>
      <x:c r="AU46" s="62" t="str">
        <x:v>No full-text direct evidence extracted in step 4.</x:v>
      </x:c>
      <x:c r="AV46" s="62" t="str">
        <x:v>Preliminary relevance inference: meets all concept groups for S3.</x:v>
      </x:c>
      <x:c r="AW46" s="62" t="str">
        <x:v>Title/abstract screening cannot establish implementation identity, novelty, or performance comparability.</x:v>
      </x:c>
      <x:c r="AX46" s="62" t="str">
        <x:v>Verify original full text, method details, experimental budget, and six comparability dimensions.</x:v>
      </x:c>
      <x:c r="AY46" s="62" t="str">
        <x:v>unresolved</x:v>
      </x:c>
      <x:c r="AZ46" s="62" t="str">
        <x:v>indirect</x:v>
      </x:c>
      <x:c r="BA46" s="62" t="str">
        <x:v>Title/abstract screened; full-text pending</x:v>
      </x:c>
      <x:c r="BB46" s="62">
        <x:f>IF(COUNTA(B46:BC46)=0,"",IF(A46="","MISSING ID",IFERROR(IF(AND(LEFT(A46,1)="L",ISNUMBER(SEARCH("-E",A46))),"OK","CHECK ID"),"CHECK ID")))</x:f>
      </x:c>
    </x:row>
    <x:row r="47" ht="48" customHeight="1">
      <x:c r="A47" s="63" t="str">
        <x:v>L071-E01</x:v>
      </x:c>
      <x:c r="B47" s="63" t="str">
        <x:v>L071</x:v>
      </x:c>
      <x:c r="C47" s="63" t="str">
        <x:v>OpenAlex-S6-trace S6; title+abstract</x:v>
      </x:c>
      <x:c r="D47" s="63" t="str">
        <x:v>Database abstract available</x:v>
      </x:c>
      <x:c r="E47" s="63" t="str">
        <x:v>shop scheduling mechanism</x:v>
      </x:c>
      <x:c r="F47" s="63" t="str">
        <x:v>workshop</x:v>
      </x:c>
      <x:c r="G47" s="63" t="str">
        <x:v>neighborhood/operator/heuristic selection</x:v>
      </x:c>
      <x:c r="H47" s="63" t="str">
        <x:v>problem entities not yet extracted</x:v>
      </x:c>
      <x:c r="I47" s="63" t="str">
        <x:v>Pending full-text extraction</x:v>
      </x:c>
      <x:c r="J47" s="63" t="str">
        <x:v>Pending full-text extraction</x:v>
      </x:c>
      <x:c r="K47" s="63" t="str">
        <x:v>Pending full-text extraction</x:v>
      </x:c>
      <x:c r="L47" s="63" t="str">
        <x:v>Pending full-text extraction</x:v>
      </x:c>
      <x:c r="M47" s="63" t="str">
        <x:v>workshop</x:v>
      </x:c>
      <x:c r="N47" s="63" t="str">
        <x:v>dynamic/online</x:v>
      </x:c>
      <x:c r="O47" s="63" t="str"/>
      <x:c r="P47" s="63" t="str"/>
      <x:c r="Q47" s="63" t="str"/>
      <x:c r="R47" s="63" t="str"/>
      <x:c r="S47" s="63" t="str"/>
      <x:c r="T47" s="63" t="str"/>
      <x:c r="U47" s="63" t="str">
        <x:v>mechanism-transfer candidate</x:v>
      </x:c>
      <x:c r="V47" s="63" t="str">
        <x:v>RL hyper-heuristic</x:v>
      </x:c>
      <x:c r="W47" s="63" t="str"/>
      <x:c r="X47" s="63" t="str">
        <x:v>Frozen-query match: S3,S5; source queries: S6</x:v>
      </x:c>
      <x:c r="Y47" s="63" t="str"/>
      <x:c r="Z47" s="63" t="str"/>
      <x:c r="AA47" s="63" t="str"/>
      <x:c r="AB47" s="63" t="str"/>
      <x:c r="AC47" s="63" t="str"/>
      <x:c r="AD47" s="63" t="str"/>
      <x:c r="AE47" s="63" t="str"/>
      <x:c r="AF47" s="63" t="str"/>
      <x:c r="AG47" s="63" t="str"/>
      <x:c r="AH47" s="63" t="str"/>
      <x:c r="AI47" s="63" t="str"/>
      <x:c r="AJ47" s="63" t="str"/>
      <x:c r="AK47" s="63" t="str"/>
      <x:c r="AL47" s="63" t="str"/>
      <x:c r="AM47" s="63" t="str"/>
      <x:c r="AN47" s="63" t="str"/>
      <x:c r="AO47" s="63" t="str"/>
      <x:c r="AP47" s="63" t="str"/>
      <x:c r="AQ47" s="63" t="str"/>
      <x:c r="AR47" s="63" t="str"/>
      <x:c r="AS47" s="63" t="str"/>
      <x:c r="AT47" s="63" t="str">
        <x:v>Driven by the evolution of smart and sustainable manufacturing paradigms under Industry 5.0, which emphasize adaptability, connectivity, and data-driven decision-making, the dynamic flexible job shop scheduling problem (DFJSSP) has emerged as a critical area of research. The DFJSSP involves scheduling jobs in a highly dynamic and uncertain manufacturing environment where new tasks are continually introduced, further complicating the scheduling process. In this study, the DFJSSP is extended to incorporate single crane transportation and sequence-dependent setup times, reflecting real-world manu</x:v>
      </x:c>
      <x:c r="AU47" s="63" t="str">
        <x:v>No full-text direct evidence extracted in step 4.</x:v>
      </x:c>
      <x:c r="AV47" s="63" t="str">
        <x:v>Preliminary relevance inference: meets all concept groups for S3, S5.</x:v>
      </x:c>
      <x:c r="AW47" s="63" t="str">
        <x:v>Title/abstract screening cannot establish implementation identity, novelty, or performance comparability.</x:v>
      </x:c>
      <x:c r="AX47" s="63" t="str">
        <x:v>Verify original full text, method details, experimental budget, and six comparability dimensions.</x:v>
      </x:c>
      <x:c r="AY47" s="63" t="str">
        <x:v>unresolved</x:v>
      </x:c>
      <x:c r="AZ47" s="63" t="str">
        <x:v>indirect</x:v>
      </x:c>
      <x:c r="BA47" s="63" t="str">
        <x:v>Title/abstract screened; full-text pending</x:v>
      </x:c>
      <x:c r="BB47" s="63">
        <x:f>IF(COUNTA(B47:BC47)=0,"",IF(A47="","MISSING ID",IFERROR(IF(AND(LEFT(A47,1)="L",ISNUMBER(SEARCH("-E",A47))),"OK","CHECK ID"),"CHECK ID")))</x:f>
      </x:c>
    </x:row>
    <x:row r="48" ht="48" customHeight="1">
      <x:c r="A48" s="62" t="str">
        <x:v>L072-E01</x:v>
      </x:c>
      <x:c r="B48" s="62" t="str">
        <x:v>L072</x:v>
      </x:c>
      <x:c r="C48" s="62" t="str">
        <x:v>arXiv S2; title+abstract</x:v>
      </x:c>
      <x:c r="D48" s="62" t="str">
        <x:v>Database abstract available</x:v>
      </x:c>
      <x:c r="E48" s="62" t="str">
        <x:v>transferable search-control mechanism</x:v>
      </x:c>
      <x:c r="F48" s="62" t="str">
        <x:v>cross-domain optimization</x:v>
      </x:c>
      <x:c r="G48" s="62" t="str">
        <x:v>critical/bottleneck region or local-search move</x:v>
      </x:c>
      <x:c r="H48" s="62" t="str">
        <x:v>problem entities not yet extracted</x:v>
      </x:c>
      <x:c r="I48" s="62" t="str">
        <x:v>Pending full-text extraction</x:v>
      </x:c>
      <x:c r="J48" s="62" t="str">
        <x:v>Pending full-text extraction</x:v>
      </x:c>
      <x:c r="K48" s="62" t="str">
        <x:v>Pending full-text extraction</x:v>
      </x:c>
      <x:c r="L48" s="62" t="str">
        <x:v>Pending full-text extraction</x:v>
      </x:c>
      <x:c r="M48" s="62" t="str">
        <x:v>cross-domain optimization</x:v>
      </x:c>
      <x:c r="N48" s="62" t="str">
        <x:v>dynamic/online</x:v>
      </x:c>
      <x:c r="O48" s="62" t="str"/>
      <x:c r="P48" s="62" t="str"/>
      <x:c r="Q48" s="62" t="str"/>
      <x:c r="R48" s="62" t="str"/>
      <x:c r="S48" s="62" t="str"/>
      <x:c r="T48" s="62" t="str"/>
      <x:c r="U48" s="62" t="str">
        <x:v>mechanism-transfer candidate</x:v>
      </x:c>
      <x:c r="V48" s="62" t="str">
        <x:v>scheduling/metaheuristic</x:v>
      </x:c>
      <x:c r="W48" s="62" t="str"/>
      <x:c r="X48" s="62" t="str">
        <x:v>Frozen-query match: S2; source queries: S2</x:v>
      </x:c>
      <x:c r="Y48" s="62" t="str"/>
      <x:c r="Z48" s="62" t="str"/>
      <x:c r="AA48" s="62" t="str"/>
      <x:c r="AB48" s="62" t="str"/>
      <x:c r="AC48" s="62" t="str"/>
      <x:c r="AD48" s="62" t="str"/>
      <x:c r="AE48" s="62" t="str"/>
      <x:c r="AF48" s="62" t="str"/>
      <x:c r="AG48" s="62" t="str"/>
      <x:c r="AH48" s="62" t="str"/>
      <x:c r="AI48" s="62" t="str"/>
      <x:c r="AJ48" s="62" t="str"/>
      <x:c r="AK48" s="62" t="str"/>
      <x:c r="AL48" s="62" t="str"/>
      <x:c r="AM48" s="62" t="str"/>
      <x:c r="AN48" s="62" t="str"/>
      <x:c r="AO48" s="62" t="str"/>
      <x:c r="AP48" s="62" t="str"/>
      <x:c r="AQ48" s="62" t="str"/>
      <x:c r="AR48" s="62" t="str"/>
      <x:c r="AS48" s="62" t="str"/>
      <x:c r="AT48" s="62" t="str">
        <x:v>The steelmaking continuous casting scheduling problem (SCCSP) is a critical and complex challenge in modern steel production, requiring the coordinated assignment and sequencing of steel charges across multiple production stages. Efficient scheduling not only enhances productivity but also significantly reduces energy consumption. However, both traditional heuristics (e.g., two-stage local search) and recent metaheuristics often struggle to adapt to the dynamic characteristics of practical SCCSP instances. To address these limitations, this paper introduces a novel Q learning based hierarchica</x:v>
      </x:c>
      <x:c r="AU48" s="62" t="str">
        <x:v>No full-text direct evidence extracted in step 4.</x:v>
      </x:c>
      <x:c r="AV48" s="62" t="str">
        <x:v>Preliminary relevance inference: meets all concept groups for S2.</x:v>
      </x:c>
      <x:c r="AW48" s="62" t="str">
        <x:v>Title/abstract screening cannot establish implementation identity, novelty, or performance comparability.</x:v>
      </x:c>
      <x:c r="AX48" s="62" t="str">
        <x:v>Verify original full text, method details, experimental budget, and six comparability dimensions.</x:v>
      </x:c>
      <x:c r="AY48" s="62" t="str">
        <x:v>unresolved</x:v>
      </x:c>
      <x:c r="AZ48" s="62" t="str">
        <x:v>indirect</x:v>
      </x:c>
      <x:c r="BA48" s="62" t="str">
        <x:v>Title/abstract screened; full-text pending</x:v>
      </x:c>
      <x:c r="BB48" s="62">
        <x:f>IF(COUNTA(B48:BC48)=0,"",IF(A48="","MISSING ID",IFERROR(IF(AND(LEFT(A48,1)="L",ISNUMBER(SEARCH("-E",A48))),"OK","CHECK ID"),"CHECK ID")))</x:f>
      </x:c>
    </x:row>
    <x:row r="49" ht="48" customHeight="1">
      <x:c r="A49" s="63" t="str">
        <x:v>L073-E01</x:v>
      </x:c>
      <x:c r="B49" s="63" t="str">
        <x:v>L073</x:v>
      </x:c>
      <x:c r="C49" s="63" t="str">
        <x:v>OpenAlex-S6-trace S6; title+metadata</x:v>
      </x:c>
      <x:c r="D49" s="63" t="str">
        <x:v>Abstract unavailable</x:v>
      </x:c>
      <x:c r="E49" s="63" t="str">
        <x:v>shop scheduling mechanism</x:v>
      </x:c>
      <x:c r="F49" s="63" t="str">
        <x:v>workshop</x:v>
      </x:c>
      <x:c r="G49" s="63" t="str">
        <x:v>critical/bottleneck region or local-search move</x:v>
      </x:c>
      <x:c r="H49" s="63" t="str">
        <x:v>problem entities not yet extracted</x:v>
      </x:c>
      <x:c r="I49" s="63" t="str">
        <x:v>Pending full-text extraction</x:v>
      </x:c>
      <x:c r="J49" s="63" t="str">
        <x:v>Pending full-text extraction</x:v>
      </x:c>
      <x:c r="K49" s="63" t="str">
        <x:v>Pending full-text extraction</x:v>
      </x:c>
      <x:c r="L49" s="63" t="str">
        <x:v>Pending full-text extraction</x:v>
      </x:c>
      <x:c r="M49" s="63" t="str">
        <x:v>workshop</x:v>
      </x:c>
      <x:c r="N49" s="63" t="str">
        <x:v>static/offline or not stated</x:v>
      </x:c>
      <x:c r="O49" s="63" t="str"/>
      <x:c r="P49" s="63" t="str"/>
      <x:c r="Q49" s="63" t="str"/>
      <x:c r="R49" s="63" t="str"/>
      <x:c r="S49" s="63" t="str"/>
      <x:c r="T49" s="63" t="str"/>
      <x:c r="U49" s="63" t="str">
        <x:v>mechanism-transfer candidate</x:v>
      </x:c>
      <x:c r="V49" s="63" t="str">
        <x:v>scheduling/metaheuristic</x:v>
      </x:c>
      <x:c r="W49" s="63" t="str"/>
      <x:c r="X49" s="63" t="str">
        <x:v>Frozen-query match: S2; source queries: S6</x:v>
      </x:c>
      <x:c r="Y49" s="63" t="str"/>
      <x:c r="Z49" s="63" t="str"/>
      <x:c r="AA49" s="63" t="str"/>
      <x:c r="AB49" s="63" t="str"/>
      <x:c r="AC49" s="63" t="str"/>
      <x:c r="AD49" s="63" t="str"/>
      <x:c r="AE49" s="63" t="str"/>
      <x:c r="AF49" s="63" t="str"/>
      <x:c r="AG49" s="63" t="str"/>
      <x:c r="AH49" s="63" t="str"/>
      <x:c r="AI49" s="63" t="str"/>
      <x:c r="AJ49" s="63" t="str"/>
      <x:c r="AK49" s="63" t="str"/>
      <x:c r="AL49" s="63" t="str"/>
      <x:c r="AM49" s="63" t="str"/>
      <x:c r="AN49" s="63" t="str"/>
      <x:c r="AO49" s="63" t="str"/>
      <x:c r="AP49" s="63" t="str"/>
      <x:c r="AQ49" s="63" t="str"/>
      <x:c r="AR49" s="63" t="str"/>
      <x:c r="AS49" s="63" t="str"/>
      <x:c r="AT49" s="63" t="str">
        <x:v>No abstract retrieved; no author conclusion extracted.</x:v>
      </x:c>
      <x:c r="AU49" s="63" t="str">
        <x:v>No full-text direct evidence extracted in step 4.</x:v>
      </x:c>
      <x:c r="AV49" s="63" t="str">
        <x:v>Preliminary relevance inference: meets all concept groups for S2.</x:v>
      </x:c>
      <x:c r="AW49" s="63" t="str">
        <x:v>Title/abstract screening cannot establish implementation identity, novelty, or performance comparability.</x:v>
      </x:c>
      <x:c r="AX49" s="63" t="str">
        <x:v>Verify original full text, method details, experimental budget, and six comparability dimensions.</x:v>
      </x:c>
      <x:c r="AY49" s="63" t="str">
        <x:v>unresolved</x:v>
      </x:c>
      <x:c r="AZ49" s="63" t="str">
        <x:v>indirect</x:v>
      </x:c>
      <x:c r="BA49" s="63" t="str">
        <x:v>Title/abstract screened; full-text pending</x:v>
      </x:c>
      <x:c r="BB49" s="63">
        <x:f>IF(COUNTA(B49:BC49)=0,"",IF(A49="","MISSING ID",IFERROR(IF(AND(LEFT(A49,1)="L",ISNUMBER(SEARCH("-E",A49))),"OK","CHECK ID"),"CHECK ID")))</x:f>
      </x:c>
    </x:row>
    <x:row r="50" ht="48" customHeight="1">
      <x:c r="A50" s="62" t="str">
        <x:v>L074-E01</x:v>
      </x:c>
      <x:c r="B50" s="62" t="str">
        <x:v>L074</x:v>
      </x:c>
      <x:c r="C50" s="62" t="str">
        <x:v>OpenAlex+OpenAlex-S6-trace S3,S6; title+abstract</x:v>
      </x:c>
      <x:c r="D50" s="62" t="str">
        <x:v>Database abstract available</x:v>
      </x:c>
      <x:c r="E50" s="62" t="str">
        <x:v>transferable search-control mechanism</x:v>
      </x:c>
      <x:c r="F50" s="62" t="str">
        <x:v>cross-domain optimization</x:v>
      </x:c>
      <x:c r="G50" s="62" t="str">
        <x:v>neighborhood/operator/heuristic selection</x:v>
      </x:c>
      <x:c r="H50" s="62" t="str">
        <x:v>problem entities not yet extracted</x:v>
      </x:c>
      <x:c r="I50" s="62" t="str">
        <x:v>Pending full-text extraction</x:v>
      </x:c>
      <x:c r="J50" s="62" t="str">
        <x:v>Pending full-text extraction</x:v>
      </x:c>
      <x:c r="K50" s="62" t="str">
        <x:v>Pending full-text extraction</x:v>
      </x:c>
      <x:c r="L50" s="62" t="str">
        <x:v>Pending full-text extraction</x:v>
      </x:c>
      <x:c r="M50" s="62" t="str">
        <x:v>cross-domain optimization</x:v>
      </x:c>
      <x:c r="N50" s="62" t="str">
        <x:v>static/offline or not stated</x:v>
      </x:c>
      <x:c r="O50" s="62" t="str"/>
      <x:c r="P50" s="62" t="str"/>
      <x:c r="Q50" s="62" t="str"/>
      <x:c r="R50" s="62" t="str"/>
      <x:c r="S50" s="62" t="str"/>
      <x:c r="T50" s="62" t="str"/>
      <x:c r="U50" s="62" t="str">
        <x:v>mechanism-transfer candidate</x:v>
      </x:c>
      <x:c r="V50" s="62" t="str">
        <x:v>adaptive operator selection</x:v>
      </x:c>
      <x:c r="W50" s="62" t="str"/>
      <x:c r="X50" s="62" t="str">
        <x:v>Frozen-query match: S3; source queries: S3,S6</x:v>
      </x:c>
      <x:c r="Y50" s="62" t="str"/>
      <x:c r="Z50" s="62" t="str"/>
      <x:c r="AA50" s="62" t="str"/>
      <x:c r="AB50" s="62" t="str"/>
      <x:c r="AC50" s="62" t="str"/>
      <x:c r="AD50" s="62" t="str"/>
      <x:c r="AE50" s="62" t="str"/>
      <x:c r="AF50" s="62" t="str"/>
      <x:c r="AG50" s="62" t="str"/>
      <x:c r="AH50" s="62" t="str"/>
      <x:c r="AI50" s="62" t="str"/>
      <x:c r="AJ50" s="62" t="str"/>
      <x:c r="AK50" s="62" t="str"/>
      <x:c r="AL50" s="62" t="str"/>
      <x:c r="AM50" s="62" t="str"/>
      <x:c r="AN50" s="62" t="str"/>
      <x:c r="AO50" s="62" t="str"/>
      <x:c r="AP50" s="62" t="str"/>
      <x:c r="AQ50" s="62" t="str"/>
      <x:c r="AR50" s="62" t="str"/>
      <x:c r="AS50" s="62" t="str"/>
      <x:c r="AT50" s="62" t="str">
        <x:v>Covering Tour Problem (CTP) is a combinatorial optimization problem in which the objective is to identify a minimum-cost tour that satisfies the coverage of a certain subset of nodes in a graph. The Covering Tour Problem with Varying Coverage (CTP-VC) is an extension of this problem in which the coverage radius is dependent on the amount of time spent at each node. In this paper, we propose a novel approach to address the CTP-VC using a Deep Reinforcement Learning Hyperheuristic (DRLH). This study includes experiments on the existing Adaptive Metaheuristic to solve CTP-VC, to enhance its solut</x:v>
      </x:c>
      <x:c r="AU50" s="62" t="str">
        <x:v>No full-text direct evidence extracted in step 4.</x:v>
      </x:c>
      <x:c r="AV50" s="62" t="str">
        <x:v>Preliminary relevance inference: meets all concept groups for S3.</x:v>
      </x:c>
      <x:c r="AW50" s="62" t="str">
        <x:v>Title/abstract screening cannot establish implementation identity, novelty, or performance comparability.</x:v>
      </x:c>
      <x:c r="AX50" s="62" t="str">
        <x:v>Verify original full text, method details, experimental budget, and six comparability dimensions.</x:v>
      </x:c>
      <x:c r="AY50" s="62" t="str">
        <x:v>unresolved</x:v>
      </x:c>
      <x:c r="AZ50" s="62" t="str">
        <x:v>indirect</x:v>
      </x:c>
      <x:c r="BA50" s="62" t="str">
        <x:v>Title/abstract screened; full-text pending</x:v>
      </x:c>
      <x:c r="BB50" s="62">
        <x:f>IF(COUNTA(B50:BC50)=0,"",IF(A50="","MISSING ID",IFERROR(IF(AND(LEFT(A50,1)="L",ISNUMBER(SEARCH("-E",A50))),"OK","CHECK ID"),"CHECK ID")))</x:f>
      </x:c>
    </x:row>
    <x:row r="51" ht="48" customHeight="1">
      <x:c r="A51" s="63" t="str">
        <x:v>L075-E01</x:v>
      </x:c>
      <x:c r="B51" s="63" t="str">
        <x:v>L075</x:v>
      </x:c>
      <x:c r="C51" s="63" t="str">
        <x:v>OpenAlex S3; title+abstract</x:v>
      </x:c>
      <x:c r="D51" s="63" t="str">
        <x:v>Database abstract available</x:v>
      </x:c>
      <x:c r="E51" s="63" t="str">
        <x:v>transferable search-control mechanism</x:v>
      </x:c>
      <x:c r="F51" s="63" t="str">
        <x:v>routing/transport</x:v>
      </x:c>
      <x:c r="G51" s="63" t="str">
        <x:v>neighborhood/operator/heuristic selection</x:v>
      </x:c>
      <x:c r="H51" s="63" t="str">
        <x:v>problem entities not yet extracted</x:v>
      </x:c>
      <x:c r="I51" s="63" t="str">
        <x:v>Pending full-text extraction</x:v>
      </x:c>
      <x:c r="J51" s="63" t="str">
        <x:v>Pending full-text extraction</x:v>
      </x:c>
      <x:c r="K51" s="63" t="str">
        <x:v>Pending full-text extraction</x:v>
      </x:c>
      <x:c r="L51" s="63" t="str">
        <x:v>Pending full-text extraction</x:v>
      </x:c>
      <x:c r="M51" s="63" t="str">
        <x:v>routing/transport</x:v>
      </x:c>
      <x:c r="N51" s="63" t="str">
        <x:v>static/offline or not stated</x:v>
      </x:c>
      <x:c r="O51" s="63" t="str"/>
      <x:c r="P51" s="63" t="str"/>
      <x:c r="Q51" s="63" t="str"/>
      <x:c r="R51" s="63" t="str"/>
      <x:c r="S51" s="63" t="str"/>
      <x:c r="T51" s="63" t="str"/>
      <x:c r="U51" s="63" t="str">
        <x:v>mechanism-transfer candidate</x:v>
      </x:c>
      <x:c r="V51" s="63" t="str">
        <x:v>RL hyper-heuristic</x:v>
      </x:c>
      <x:c r="W51" s="63" t="str"/>
      <x:c r="X51" s="63" t="str">
        <x:v>Frozen-query match: S3,S5; source queries: S3</x:v>
      </x:c>
      <x:c r="Y51" s="63" t="str"/>
      <x:c r="Z51" s="63" t="str"/>
      <x:c r="AA51" s="63" t="str"/>
      <x:c r="AB51" s="63" t="str"/>
      <x:c r="AC51" s="63" t="str"/>
      <x:c r="AD51" s="63" t="str"/>
      <x:c r="AE51" s="63" t="str"/>
      <x:c r="AF51" s="63" t="str"/>
      <x:c r="AG51" s="63" t="str"/>
      <x:c r="AH51" s="63" t="str"/>
      <x:c r="AI51" s="63" t="str"/>
      <x:c r="AJ51" s="63" t="str"/>
      <x:c r="AK51" s="63" t="str"/>
      <x:c r="AL51" s="63" t="str"/>
      <x:c r="AM51" s="63" t="str"/>
      <x:c r="AN51" s="63" t="str"/>
      <x:c r="AO51" s="63" t="str"/>
      <x:c r="AP51" s="63" t="str"/>
      <x:c r="AQ51" s="63" t="str"/>
      <x:c r="AR51" s="63" t="str"/>
      <x:c r="AS51" s="63" t="str"/>
      <x:c r="AT51" s="63" t="str">
        <x:v>The Capacitated Electric Vehicle Routing Problem (CEVRP) poses a novel challenge within the field of vehicle routing optimization, as it requires consideration of both customer service requirements and electric vehicle recharging schedules. In addressing the CEVRP, Adaptive Large Neighborhood Search (ALNS) has garnered widespread acclaim due to its remarkable adaptability and versatility. However, the original ALNS, using a weight-based scoring method, relies solely on the past performances of operators to determine their weights, thereby failing to capture crucial information about the ongoin</x:v>
      </x:c>
      <x:c r="AU51" s="63" t="str">
        <x:v>No full-text direct evidence extracted in step 4.</x:v>
      </x:c>
      <x:c r="AV51" s="63" t="str">
        <x:v>Preliminary relevance inference: meets all concept groups for S3, S5.</x:v>
      </x:c>
      <x:c r="AW51" s="63" t="str">
        <x:v>Title/abstract screening cannot establish implementation identity, novelty, or performance comparability.</x:v>
      </x:c>
      <x:c r="AX51" s="63" t="str">
        <x:v>Verify original full text, method details, experimental budget, and six comparability dimensions.</x:v>
      </x:c>
      <x:c r="AY51" s="63" t="str">
        <x:v>unresolved</x:v>
      </x:c>
      <x:c r="AZ51" s="63" t="str">
        <x:v>indirect</x:v>
      </x:c>
      <x:c r="BA51" s="63" t="str">
        <x:v>Title/abstract screened; full-text pending</x:v>
      </x:c>
      <x:c r="BB51" s="63">
        <x:f>IF(COUNTA(B51:BC51)=0,"",IF(A51="","MISSING ID",IFERROR(IF(AND(LEFT(A51,1)="L",ISNUMBER(SEARCH("-E",A51))),"OK","CHECK ID"),"CHECK ID")))</x:f>
      </x:c>
    </x:row>
    <x:row r="52" ht="48" customHeight="1">
      <x:c r="A52" s="62" t="str">
        <x:v>L076-E01</x:v>
      </x:c>
      <x:c r="B52" s="62" t="str">
        <x:v>L076</x:v>
      </x:c>
      <x:c r="C52" s="62" t="str">
        <x:v>OpenAlex S2; title+metadata</x:v>
      </x:c>
      <x:c r="D52" s="62" t="str">
        <x:v>Abstract unavailable</x:v>
      </x:c>
      <x:c r="E52" s="62" t="str">
        <x:v>shop scheduling mechanism</x:v>
      </x:c>
      <x:c r="F52" s="62" t="str">
        <x:v>workshop</x:v>
      </x:c>
      <x:c r="G52" s="62" t="str">
        <x:v>critical/bottleneck region or local-search move</x:v>
      </x:c>
      <x:c r="H52" s="62" t="str">
        <x:v>problem entities not yet extracted</x:v>
      </x:c>
      <x:c r="I52" s="62" t="str">
        <x:v>Pending full-text extraction</x:v>
      </x:c>
      <x:c r="J52" s="62" t="str">
        <x:v>Pending full-text extraction</x:v>
      </x:c>
      <x:c r="K52" s="62" t="str">
        <x:v>Pending full-text extraction</x:v>
      </x:c>
      <x:c r="L52" s="62" t="str">
        <x:v>Pending full-text extraction</x:v>
      </x:c>
      <x:c r="M52" s="62" t="str">
        <x:v>workshop</x:v>
      </x:c>
      <x:c r="N52" s="62" t="str">
        <x:v>static/offline or not stated</x:v>
      </x:c>
      <x:c r="O52" s="62" t="str"/>
      <x:c r="P52" s="62" t="str"/>
      <x:c r="Q52" s="62" t="str"/>
      <x:c r="R52" s="62" t="str"/>
      <x:c r="S52" s="62" t="str"/>
      <x:c r="T52" s="62" t="str"/>
      <x:c r="U52" s="62" t="str">
        <x:v>mechanism-transfer candidate</x:v>
      </x:c>
      <x:c r="V52" s="62" t="str">
        <x:v>scheduling/metaheuristic</x:v>
      </x:c>
      <x:c r="W52" s="62" t="str"/>
      <x:c r="X52" s="62" t="str">
        <x:v>Frozen-query match: S2; source queries: S2</x:v>
      </x:c>
      <x:c r="Y52" s="62" t="str"/>
      <x:c r="Z52" s="62" t="str"/>
      <x:c r="AA52" s="62" t="str"/>
      <x:c r="AB52" s="62" t="str"/>
      <x:c r="AC52" s="62" t="str"/>
      <x:c r="AD52" s="62" t="str"/>
      <x:c r="AE52" s="62" t="str"/>
      <x:c r="AF52" s="62" t="str"/>
      <x:c r="AG52" s="62" t="str"/>
      <x:c r="AH52" s="62" t="str"/>
      <x:c r="AI52" s="62" t="str"/>
      <x:c r="AJ52" s="62" t="str"/>
      <x:c r="AK52" s="62" t="str"/>
      <x:c r="AL52" s="62" t="str"/>
      <x:c r="AM52" s="62" t="str"/>
      <x:c r="AN52" s="62" t="str"/>
      <x:c r="AO52" s="62" t="str"/>
      <x:c r="AP52" s="62" t="str"/>
      <x:c r="AQ52" s="62" t="str"/>
      <x:c r="AR52" s="62" t="str"/>
      <x:c r="AS52" s="62" t="str"/>
      <x:c r="AT52" s="62" t="str">
        <x:v>No abstract retrieved; no author conclusion extracted.</x:v>
      </x:c>
      <x:c r="AU52" s="62" t="str">
        <x:v>No full-text direct evidence extracted in step 4.</x:v>
      </x:c>
      <x:c r="AV52" s="62" t="str">
        <x:v>Preliminary relevance inference: meets all concept groups for S2.</x:v>
      </x:c>
      <x:c r="AW52" s="62" t="str">
        <x:v>Title/abstract screening cannot establish implementation identity, novelty, or performance comparability.</x:v>
      </x:c>
      <x:c r="AX52" s="62" t="str">
        <x:v>Verify original full text, method details, experimental budget, and six comparability dimensions.</x:v>
      </x:c>
      <x:c r="AY52" s="62" t="str">
        <x:v>unresolved</x:v>
      </x:c>
      <x:c r="AZ52" s="62" t="str">
        <x:v>indirect</x:v>
      </x:c>
      <x:c r="BA52" s="62" t="str">
        <x:v>Title/abstract screened; full-text pending</x:v>
      </x:c>
      <x:c r="BB52" s="62">
        <x:f>IF(COUNTA(B52:BC52)=0,"",IF(A52="","MISSING ID",IFERROR(IF(AND(LEFT(A52,1)="L",ISNUMBER(SEARCH("-E",A52))),"OK","CHECK ID"),"CHECK ID")))</x:f>
      </x:c>
    </x:row>
    <x:row r="53" ht="48" customHeight="1">
      <x:c r="A53" s="63" t="str">
        <x:v>L077-E01</x:v>
      </x:c>
      <x:c r="B53" s="63" t="str">
        <x:v>L077</x:v>
      </x:c>
      <x:c r="C53" s="63" t="str">
        <x:v>OpenAlex-S6-trace+OpenAlex-S6-seed S6; title+abstract</x:v>
      </x:c>
      <x:c r="D53" s="63" t="str">
        <x:v>Database abstract available</x:v>
      </x:c>
      <x:c r="E53" s="63" t="str">
        <x:v>transferable search-control mechanism</x:v>
      </x:c>
      <x:c r="F53" s="63" t="str">
        <x:v>routing/transport</x:v>
      </x:c>
      <x:c r="G53" s="63" t="str">
        <x:v>search intensity, neighborhood size, or computational budget</x:v>
      </x:c>
      <x:c r="H53" s="63" t="str">
        <x:v>problem entities not yet extracted</x:v>
      </x:c>
      <x:c r="I53" s="63" t="str">
        <x:v>Pending full-text extraction</x:v>
      </x:c>
      <x:c r="J53" s="63" t="str">
        <x:v>Pending full-text extraction</x:v>
      </x:c>
      <x:c r="K53" s="63" t="str">
        <x:v>Pending full-text extraction</x:v>
      </x:c>
      <x:c r="L53" s="63" t="str">
        <x:v>Pending full-text extraction</x:v>
      </x:c>
      <x:c r="M53" s="63" t="str">
        <x:v>routing/transport</x:v>
      </x:c>
      <x:c r="N53" s="63" t="str">
        <x:v>static/offline or not stated</x:v>
      </x:c>
      <x:c r="O53" s="63" t="str"/>
      <x:c r="P53" s="63" t="str"/>
      <x:c r="Q53" s="63" t="str"/>
      <x:c r="R53" s="63" t="str"/>
      <x:c r="S53" s="63" t="str"/>
      <x:c r="T53" s="63" t="str"/>
      <x:c r="U53" s="63" t="str">
        <x:v>mechanism-transfer candidate</x:v>
      </x:c>
      <x:c r="V53" s="63" t="str">
        <x:v>adaptive search control</x:v>
      </x:c>
      <x:c r="W53" s="63" t="str"/>
      <x:c r="X53" s="63" t="str">
        <x:v>Frozen-query match: S4; source queries: S6</x:v>
      </x:c>
      <x:c r="Y53" s="63" t="str"/>
      <x:c r="Z53" s="63" t="str"/>
      <x:c r="AA53" s="63" t="str"/>
      <x:c r="AB53" s="63" t="str"/>
      <x:c r="AC53" s="63" t="str"/>
      <x:c r="AD53" s="63" t="str"/>
      <x:c r="AE53" s="63" t="str"/>
      <x:c r="AF53" s="63" t="str"/>
      <x:c r="AG53" s="63" t="str"/>
      <x:c r="AH53" s="63" t="str"/>
      <x:c r="AI53" s="63" t="str"/>
      <x:c r="AJ53" s="63" t="str"/>
      <x:c r="AK53" s="63" t="str"/>
      <x:c r="AL53" s="63" t="str"/>
      <x:c r="AM53" s="63" t="str"/>
      <x:c r="AN53" s="63" t="str"/>
      <x:c r="AO53" s="63" t="str"/>
      <x:c r="AP53" s="63" t="str"/>
      <x:c r="AQ53" s="63" t="str"/>
      <x:c r="AR53" s="63" t="str"/>
      <x:c r="AS53" s="63" t="str"/>
      <x:c r="AT53" s="63" t="str">
        <x:v>Adaptive Large Neighbourhood Search (ALNS) is a popular metaheuristic with renowned efficiency in solving combinatorial optimisation problems. However, despite 18 years of intensive research into ALNS, the design of an effective adaptive layer for selecting operators to improve the solution remains an open question. In this work, we isolate this problem by formulating it as a Markov Decision Process, in which an agent is rewarded proportionally to the improvement of the incumbent. We propose Graph Reinforcement Learning for Operator Selection (GRLOS), a method based on Deep Reinforcement Learn</x:v>
      </x:c>
      <x:c r="AU53" s="63" t="str">
        <x:v>No full-text direct evidence extracted in step 4.</x:v>
      </x:c>
      <x:c r="AV53" s="63" t="str">
        <x:v>Preliminary relevance inference: S6 designated seed.</x:v>
      </x:c>
      <x:c r="AW53" s="63" t="str">
        <x:v>Title/abstract screening cannot establish implementation identity, novelty, or performance comparability.</x:v>
      </x:c>
      <x:c r="AX53" s="63" t="str">
        <x:v>Verify original full text, method details, experimental budget, and six comparability dimensions.</x:v>
      </x:c>
      <x:c r="AY53" s="63" t="str">
        <x:v>unresolved</x:v>
      </x:c>
      <x:c r="AZ53" s="63" t="str">
        <x:v>indirect</x:v>
      </x:c>
      <x:c r="BA53" s="63" t="str">
        <x:v>Title/abstract screened; full-text pending</x:v>
      </x:c>
      <x:c r="BB53" s="63">
        <x:f>IF(COUNTA(B53:BC53)=0,"",IF(A53="","MISSING ID",IFERROR(IF(AND(LEFT(A53,1)="L",ISNUMBER(SEARCH("-E",A53))),"OK","CHECK ID"),"CHECK ID")))</x:f>
      </x:c>
    </x:row>
    <x:row r="54" ht="48" customHeight="1">
      <x:c r="A54" s="62" t="str">
        <x:v>L078-E01</x:v>
      </x:c>
      <x:c r="B54" s="62" t="str">
        <x:v>L078</x:v>
      </x:c>
      <x:c r="C54" s="62" t="str">
        <x:v>arXiv S2; title+abstract</x:v>
      </x:c>
      <x:c r="D54" s="62" t="str">
        <x:v>Database abstract available</x:v>
      </x:c>
      <x:c r="E54" s="62" t="str">
        <x:v>machine–AGV joint scheduling</x:v>
      </x:c>
      <x:c r="F54" s="62" t="str">
        <x:v>workshop</x:v>
      </x:c>
      <x:c r="G54" s="62" t="str">
        <x:v>critical/bottleneck region or local-search move</x:v>
      </x:c>
      <x:c r="H54" s="62" t="str">
        <x:v>jobs, operations, machines, AGVs</x:v>
      </x:c>
      <x:c r="I54" s="62" t="str">
        <x:v>Pending full-text extraction</x:v>
      </x:c>
      <x:c r="J54" s="62" t="str">
        <x:v>Pending full-text extraction</x:v>
      </x:c>
      <x:c r="K54" s="62" t="str">
        <x:v>Pending full-text extraction</x:v>
      </x:c>
      <x:c r="L54" s="62" t="str">
        <x:v>Pending full-text extraction</x:v>
      </x:c>
      <x:c r="M54" s="62" t="str">
        <x:v>workshop</x:v>
      </x:c>
      <x:c r="N54" s="62" t="str">
        <x:v>static/offline or not stated</x:v>
      </x:c>
      <x:c r="O54" s="62" t="str"/>
      <x:c r="P54" s="62" t="str"/>
      <x:c r="Q54" s="62" t="str"/>
      <x:c r="R54" s="62" t="str"/>
      <x:c r="S54" s="62" t="str"/>
      <x:c r="T54" s="62" t="str"/>
      <x:c r="U54" s="62" t="str">
        <x:v>machine–transport coupled</x:v>
      </x:c>
      <x:c r="V54" s="62" t="str">
        <x:v>scheduling/metaheuristic</x:v>
      </x:c>
      <x:c r="W54" s="62" t="str"/>
      <x:c r="X54" s="62" t="str">
        <x:v>Frozen-query match: S2; source queries: S2</x:v>
      </x:c>
      <x:c r="Y54" s="62" t="str"/>
      <x:c r="Z54" s="62" t="str"/>
      <x:c r="AA54" s="62" t="str"/>
      <x:c r="AB54" s="62" t="str"/>
      <x:c r="AC54" s="62" t="str"/>
      <x:c r="AD54" s="62" t="str"/>
      <x:c r="AE54" s="62" t="str"/>
      <x:c r="AF54" s="62" t="str"/>
      <x:c r="AG54" s="62" t="str"/>
      <x:c r="AH54" s="62" t="str"/>
      <x:c r="AI54" s="62" t="str"/>
      <x:c r="AJ54" s="62" t="str"/>
      <x:c r="AK54" s="62" t="str"/>
      <x:c r="AL54" s="62" t="str"/>
      <x:c r="AM54" s="62" t="str"/>
      <x:c r="AN54" s="62" t="str"/>
      <x:c r="AO54" s="62" t="str"/>
      <x:c r="AP54" s="62" t="str"/>
      <x:c r="AQ54" s="62" t="str"/>
      <x:c r="AR54" s="62" t="str"/>
      <x:c r="AS54" s="62" t="str"/>
      <x:c r="AT54" s="62" t="str">
        <x:v>In a flexible job shop environment, using Automated Guided Vehicles (AGVs) to transport jobs and process materials is an important way to promote the intelligence of the workshop. Compared with single-load AGVs, multi-load AGVs can improve AGV utilization, reduce path conflicts, etc. Therefore, this study proposes a history-guided regional partitioning algorithm (HRPEO) for the flexible job shop scheduling problem with limited multi-load AGVs (FJSPMA). First, the encoding and decoding rules are designed according to the characteristics of multi-load AGVs, and then the initialization rule based</x:v>
      </x:c>
      <x:c r="AU54" s="62" t="str">
        <x:v>No full-text direct evidence extracted in step 4.</x:v>
      </x:c>
      <x:c r="AV54" s="62" t="str">
        <x:v>Preliminary relevance inference: meets all concept groups for S2.</x:v>
      </x:c>
      <x:c r="AW54" s="62" t="str">
        <x:v>Title/abstract screening cannot establish implementation identity, novelty, or performance comparability.</x:v>
      </x:c>
      <x:c r="AX54" s="62" t="str">
        <x:v>Verify original full text, method details, experimental budget, and six comparability dimensions.</x:v>
      </x:c>
      <x:c r="AY54" s="62" t="str">
        <x:v>unresolved</x:v>
      </x:c>
      <x:c r="AZ54" s="62" t="str">
        <x:v>indirect</x:v>
      </x:c>
      <x:c r="BA54" s="62" t="str">
        <x:v>Title/abstract screened; full-text pending</x:v>
      </x:c>
      <x:c r="BB54" s="62">
        <x:f>IF(COUNTA(B54:BC54)=0,"",IF(A54="","MISSING ID",IFERROR(IF(AND(LEFT(A54,1)="L",ISNUMBER(SEARCH("-E",A54))),"OK","CHECK ID"),"CHECK ID")))</x:f>
      </x:c>
    </x:row>
    <x:row r="55" ht="48" customHeight="1">
      <x:c r="A55" s="63" t="str">
        <x:v>L079-E01</x:v>
      </x:c>
      <x:c r="B55" s="63" t="str">
        <x:v>L079</x:v>
      </x:c>
      <x:c r="C55" s="63" t="str">
        <x:v>OpenAlex S5; title+metadata</x:v>
      </x:c>
      <x:c r="D55" s="63" t="str">
        <x:v>Abstract unavailable</x:v>
      </x:c>
      <x:c r="E55" s="63" t="str">
        <x:v>transferable search-control mechanism</x:v>
      </x:c>
      <x:c r="F55" s="63" t="str">
        <x:v>cross-domain optimization</x:v>
      </x:c>
      <x:c r="G55" s="63" t="str">
        <x:v>neighborhood/operator/heuristic selection</x:v>
      </x:c>
      <x:c r="H55" s="63" t="str">
        <x:v>problem entities not yet extracted</x:v>
      </x:c>
      <x:c r="I55" s="63" t="str">
        <x:v>Pending full-text extraction</x:v>
      </x:c>
      <x:c r="J55" s="63" t="str">
        <x:v>Pending full-text extraction</x:v>
      </x:c>
      <x:c r="K55" s="63" t="str">
        <x:v>Pending full-text extraction</x:v>
      </x:c>
      <x:c r="L55" s="63" t="str">
        <x:v>Pending full-text extraction</x:v>
      </x:c>
      <x:c r="M55" s="63" t="str">
        <x:v>cross-domain optimization</x:v>
      </x:c>
      <x:c r="N55" s="63" t="str">
        <x:v>static/offline or not stated</x:v>
      </x:c>
      <x:c r="O55" s="63" t="str"/>
      <x:c r="P55" s="63" t="str"/>
      <x:c r="Q55" s="63" t="str"/>
      <x:c r="R55" s="63" t="str"/>
      <x:c r="S55" s="63" t="str"/>
      <x:c r="T55" s="63" t="str"/>
      <x:c r="U55" s="63" t="str">
        <x:v>mechanism-transfer candidate</x:v>
      </x:c>
      <x:c r="V55" s="63" t="str">
        <x:v>RL hyper-heuristic</x:v>
      </x:c>
      <x:c r="W55" s="63" t="str"/>
      <x:c r="X55" s="63" t="str">
        <x:v>Frozen-query match: S5; source queries: S5</x:v>
      </x:c>
      <x:c r="Y55" s="63" t="str"/>
      <x:c r="Z55" s="63" t="str"/>
      <x:c r="AA55" s="63" t="str"/>
      <x:c r="AB55" s="63" t="str"/>
      <x:c r="AC55" s="63" t="str"/>
      <x:c r="AD55" s="63" t="str"/>
      <x:c r="AE55" s="63" t="str"/>
      <x:c r="AF55" s="63" t="str"/>
      <x:c r="AG55" s="63" t="str"/>
      <x:c r="AH55" s="63" t="str"/>
      <x:c r="AI55" s="63" t="str"/>
      <x:c r="AJ55" s="63" t="str"/>
      <x:c r="AK55" s="63" t="str"/>
      <x:c r="AL55" s="63" t="str"/>
      <x:c r="AM55" s="63" t="str"/>
      <x:c r="AN55" s="63" t="str"/>
      <x:c r="AO55" s="63" t="str"/>
      <x:c r="AP55" s="63" t="str"/>
      <x:c r="AQ55" s="63" t="str"/>
      <x:c r="AR55" s="63" t="str"/>
      <x:c r="AS55" s="63" t="str"/>
      <x:c r="AT55" s="63" t="str">
        <x:v>No abstract retrieved; no author conclusion extracted.</x:v>
      </x:c>
      <x:c r="AU55" s="63" t="str">
        <x:v>No full-text direct evidence extracted in step 4.</x:v>
      </x:c>
      <x:c r="AV55" s="63" t="str">
        <x:v>Preliminary relevance inference: meets all concept groups for S5.</x:v>
      </x:c>
      <x:c r="AW55" s="63" t="str">
        <x:v>Title/abstract screening cannot establish implementation identity, novelty, or performance comparability.</x:v>
      </x:c>
      <x:c r="AX55" s="63" t="str">
        <x:v>Verify original full text, method details, experimental budget, and six comparability dimensions.</x:v>
      </x:c>
      <x:c r="AY55" s="63" t="str">
        <x:v>unresolved</x:v>
      </x:c>
      <x:c r="AZ55" s="63" t="str">
        <x:v>indirect</x:v>
      </x:c>
      <x:c r="BA55" s="63" t="str">
        <x:v>Title/abstract screened; full-text pending</x:v>
      </x:c>
      <x:c r="BB55" s="63">
        <x:f>IF(COUNTA(B55:BC55)=0,"",IF(A55="","MISSING ID",IFERROR(IF(AND(LEFT(A55,1)="L",ISNUMBER(SEARCH("-E",A55))),"OK","CHECK ID"),"CHECK ID")))</x:f>
      </x:c>
    </x:row>
    <x:row r="56" ht="48" customHeight="1">
      <x:c r="A56" s="62" t="str">
        <x:v>L080-E01</x:v>
      </x:c>
      <x:c r="B56" s="62" t="str">
        <x:v>L080</x:v>
      </x:c>
      <x:c r="C56" s="62" t="str">
        <x:v>OpenAlex-S6-trace S6; title+abstract</x:v>
      </x:c>
      <x:c r="D56" s="62" t="str">
        <x:v>Database abstract available</x:v>
      </x:c>
      <x:c r="E56" s="62" t="str">
        <x:v>shop scheduling mechanism</x:v>
      </x:c>
      <x:c r="F56" s="62" t="str">
        <x:v>workshop</x:v>
      </x:c>
      <x:c r="G56" s="62" t="str">
        <x:v>search intensity, neighborhood size, or computational budget</x:v>
      </x:c>
      <x:c r="H56" s="62" t="str">
        <x:v>problem entities not yet extracted</x:v>
      </x:c>
      <x:c r="I56" s="62" t="str">
        <x:v>Pending full-text extraction</x:v>
      </x:c>
      <x:c r="J56" s="62" t="str">
        <x:v>Pending full-text extraction</x:v>
      </x:c>
      <x:c r="K56" s="62" t="str">
        <x:v>Pending full-text extraction</x:v>
      </x:c>
      <x:c r="L56" s="62" t="str">
        <x:v>Pending full-text extraction</x:v>
      </x:c>
      <x:c r="M56" s="62" t="str">
        <x:v>workshop</x:v>
      </x:c>
      <x:c r="N56" s="62" t="str">
        <x:v>static/offline or not stated</x:v>
      </x:c>
      <x:c r="O56" s="62" t="str"/>
      <x:c r="P56" s="62" t="str"/>
      <x:c r="Q56" s="62" t="str"/>
      <x:c r="R56" s="62" t="str"/>
      <x:c r="S56" s="62" t="str"/>
      <x:c r="T56" s="62" t="str"/>
      <x:c r="U56" s="62" t="str">
        <x:v>mechanism-transfer candidate</x:v>
      </x:c>
      <x:c r="V56" s="62" t="str">
        <x:v>adaptive search control</x:v>
      </x:c>
      <x:c r="W56" s="62" t="str"/>
      <x:c r="X56" s="62" t="str">
        <x:v>Frozen-query match: S4; source queries: S6</x:v>
      </x:c>
      <x:c r="Y56" s="62" t="str"/>
      <x:c r="Z56" s="62" t="str"/>
      <x:c r="AA56" s="62" t="str"/>
      <x:c r="AB56" s="62" t="str"/>
      <x:c r="AC56" s="62" t="str"/>
      <x:c r="AD56" s="62" t="str"/>
      <x:c r="AE56" s="62" t="str"/>
      <x:c r="AF56" s="62" t="str"/>
      <x:c r="AG56" s="62" t="str"/>
      <x:c r="AH56" s="62" t="str"/>
      <x:c r="AI56" s="62" t="str"/>
      <x:c r="AJ56" s="62" t="str"/>
      <x:c r="AK56" s="62" t="str"/>
      <x:c r="AL56" s="62" t="str"/>
      <x:c r="AM56" s="62" t="str"/>
      <x:c r="AN56" s="62" t="str"/>
      <x:c r="AO56" s="62" t="str"/>
      <x:c r="AP56" s="62" t="str"/>
      <x:c r="AQ56" s="62" t="str"/>
      <x:c r="AR56" s="62" t="str"/>
      <x:c r="AS56" s="62" t="str"/>
      <x:c r="AT56" s="62" t="str">
        <x:v>In the post-pandemic era, more manufacturers have expedited the shift from centralized to distributed manufacturing to enhance supply chain resilience. Along with this, the distributed shop floor scheduling problem has attracted much attention from academia, one of which is the distributed flexible job-shop scheduling problem (DFJSP). Nonetheless, the majority of research on DFJSPs overlooks crucial real-world necessities, such as multi-objective decision making and preventive maintenance (PM). Thus, this article suggests a multi-objective DFJSP with PM (DFJSP/PM) as a new variant of the DFJSP</x:v>
      </x:c>
      <x:c r="AU56" s="62" t="str">
        <x:v>No full-text direct evidence extracted in step 4.</x:v>
      </x:c>
      <x:c r="AV56" s="62" t="str">
        <x:v>Preliminary relevance inference: meets all concept groups for S4.</x:v>
      </x:c>
      <x:c r="AW56" s="62" t="str">
        <x:v>Title/abstract screening cannot establish implementation identity, novelty, or performance comparability.</x:v>
      </x:c>
      <x:c r="AX56" s="62" t="str">
        <x:v>Verify original full text, method details, experimental budget, and six comparability dimensions.</x:v>
      </x:c>
      <x:c r="AY56" s="62" t="str">
        <x:v>unresolved</x:v>
      </x:c>
      <x:c r="AZ56" s="62" t="str">
        <x:v>indirect</x:v>
      </x:c>
      <x:c r="BA56" s="62" t="str">
        <x:v>Title/abstract screened; full-text pending</x:v>
      </x:c>
      <x:c r="BB56" s="62">
        <x:f>IF(COUNTA(B56:BC56)=0,"",IF(A56="","MISSING ID",IFERROR(IF(AND(LEFT(A56,1)="L",ISNUMBER(SEARCH("-E",A56))),"OK","CHECK ID"),"CHECK ID")))</x:f>
      </x:c>
    </x:row>
    <x:row r="57" ht="48" customHeight="1">
      <x:c r="A57" s="63" t="str">
        <x:v>L081-E01</x:v>
      </x:c>
      <x:c r="B57" s="63" t="str">
        <x:v>L081</x:v>
      </x:c>
      <x:c r="C57" s="63" t="str">
        <x:v>OpenAlex-S6-trace S6; title+metadata</x:v>
      </x:c>
      <x:c r="D57" s="63" t="str">
        <x:v>Abstract unavailable</x:v>
      </x:c>
      <x:c r="E57" s="63" t="str">
        <x:v>shop scheduling mechanism</x:v>
      </x:c>
      <x:c r="F57" s="63" t="str">
        <x:v>workshop</x:v>
      </x:c>
      <x:c r="G57" s="63" t="str">
        <x:v>neighborhood/operator/heuristic selection</x:v>
      </x:c>
      <x:c r="H57" s="63" t="str">
        <x:v>problem entities not yet extracted</x:v>
      </x:c>
      <x:c r="I57" s="63" t="str">
        <x:v>Pending full-text extraction</x:v>
      </x:c>
      <x:c r="J57" s="63" t="str">
        <x:v>Pending full-text extraction</x:v>
      </x:c>
      <x:c r="K57" s="63" t="str">
        <x:v>Pending full-text extraction</x:v>
      </x:c>
      <x:c r="L57" s="63" t="str">
        <x:v>Pending full-text extraction</x:v>
      </x:c>
      <x:c r="M57" s="63" t="str">
        <x:v>workshop</x:v>
      </x:c>
      <x:c r="N57" s="63" t="str">
        <x:v>dynamic/online</x:v>
      </x:c>
      <x:c r="O57" s="63" t="str"/>
      <x:c r="P57" s="63" t="str"/>
      <x:c r="Q57" s="63" t="str"/>
      <x:c r="R57" s="63" t="str"/>
      <x:c r="S57" s="63" t="str"/>
      <x:c r="T57" s="63" t="str"/>
      <x:c r="U57" s="63" t="str">
        <x:v>mechanism-transfer candidate</x:v>
      </x:c>
      <x:c r="V57" s="63" t="str">
        <x:v>RL hyper-heuristic</x:v>
      </x:c>
      <x:c r="W57" s="63" t="str"/>
      <x:c r="X57" s="63" t="str">
        <x:v>Frozen-query match: S3,S5; source queries: S6</x:v>
      </x:c>
      <x:c r="Y57" s="63" t="str"/>
      <x:c r="Z57" s="63" t="str"/>
      <x:c r="AA57" s="63" t="str"/>
      <x:c r="AB57" s="63" t="str"/>
      <x:c r="AC57" s="63" t="str"/>
      <x:c r="AD57" s="63" t="str"/>
      <x:c r="AE57" s="63" t="str"/>
      <x:c r="AF57" s="63" t="str"/>
      <x:c r="AG57" s="63" t="str"/>
      <x:c r="AH57" s="63" t="str"/>
      <x:c r="AI57" s="63" t="str"/>
      <x:c r="AJ57" s="63" t="str"/>
      <x:c r="AK57" s="63" t="str"/>
      <x:c r="AL57" s="63" t="str"/>
      <x:c r="AM57" s="63" t="str"/>
      <x:c r="AN57" s="63" t="str"/>
      <x:c r="AO57" s="63" t="str"/>
      <x:c r="AP57" s="63" t="str"/>
      <x:c r="AQ57" s="63" t="str"/>
      <x:c r="AR57" s="63" t="str"/>
      <x:c r="AS57" s="63" t="str"/>
      <x:c r="AT57" s="63" t="str">
        <x:v>No abstract retrieved; no author conclusion extracted.</x:v>
      </x:c>
      <x:c r="AU57" s="63" t="str">
        <x:v>No full-text direct evidence extracted in step 4.</x:v>
      </x:c>
      <x:c r="AV57" s="63" t="str">
        <x:v>Preliminary relevance inference: meets all concept groups for S3, S5.</x:v>
      </x:c>
      <x:c r="AW57" s="63" t="str">
        <x:v>Title/abstract screening cannot establish implementation identity, novelty, or performance comparability.</x:v>
      </x:c>
      <x:c r="AX57" s="63" t="str">
        <x:v>Verify original full text, method details, experimental budget, and six comparability dimensions.</x:v>
      </x:c>
      <x:c r="AY57" s="63" t="str">
        <x:v>unresolved</x:v>
      </x:c>
      <x:c r="AZ57" s="63" t="str">
        <x:v>indirect</x:v>
      </x:c>
      <x:c r="BA57" s="63" t="str">
        <x:v>Title/abstract screened; full-text pending</x:v>
      </x:c>
      <x:c r="BB57" s="63">
        <x:f>IF(COUNTA(B57:BC57)=0,"",IF(A57="","MISSING ID",IFERROR(IF(AND(LEFT(A57,1)="L",ISNUMBER(SEARCH("-E",A57))),"OK","CHECK ID"),"CHECK ID")))</x:f>
      </x:c>
    </x:row>
    <x:row r="58" ht="48" customHeight="1">
      <x:c r="A58" s="62" t="str">
        <x:v>L082-E01</x:v>
      </x:c>
      <x:c r="B58" s="62" t="str">
        <x:v>L082</x:v>
      </x:c>
      <x:c r="C58" s="62" t="str">
        <x:v>OpenAlex-S6-trace S6; title+abstract</x:v>
      </x:c>
      <x:c r="D58" s="62" t="str">
        <x:v>Database abstract available</x:v>
      </x:c>
      <x:c r="E58" s="62" t="str">
        <x:v>transferable search-control mechanism</x:v>
      </x:c>
      <x:c r="F58" s="62" t="str">
        <x:v>cross-domain optimization</x:v>
      </x:c>
      <x:c r="G58" s="62" t="str">
        <x:v>search intensity, neighborhood size, or computational budget</x:v>
      </x:c>
      <x:c r="H58" s="62" t="str">
        <x:v>problem entities not yet extracted</x:v>
      </x:c>
      <x:c r="I58" s="62" t="str">
        <x:v>Pending full-text extraction</x:v>
      </x:c>
      <x:c r="J58" s="62" t="str">
        <x:v>Pending full-text extraction</x:v>
      </x:c>
      <x:c r="K58" s="62" t="str">
        <x:v>Pending full-text extraction</x:v>
      </x:c>
      <x:c r="L58" s="62" t="str">
        <x:v>Pending full-text extraction</x:v>
      </x:c>
      <x:c r="M58" s="62" t="str">
        <x:v>cross-domain optimization</x:v>
      </x:c>
      <x:c r="N58" s="62" t="str">
        <x:v>dynamic/online</x:v>
      </x:c>
      <x:c r="O58" s="62" t="str"/>
      <x:c r="P58" s="62" t="str"/>
      <x:c r="Q58" s="62" t="str"/>
      <x:c r="R58" s="62" t="str"/>
      <x:c r="S58" s="62" t="str"/>
      <x:c r="T58" s="62" t="str"/>
      <x:c r="U58" s="62" t="str">
        <x:v>mechanism-transfer candidate</x:v>
      </x:c>
      <x:c r="V58" s="62" t="str">
        <x:v>adaptive search control</x:v>
      </x:c>
      <x:c r="W58" s="62" t="str"/>
      <x:c r="X58" s="62" t="str">
        <x:v>Frozen-query match: S4; source queries: S6</x:v>
      </x:c>
      <x:c r="Y58" s="62" t="str"/>
      <x:c r="Z58" s="62" t="str"/>
      <x:c r="AA58" s="62" t="str"/>
      <x:c r="AB58" s="62" t="str"/>
      <x:c r="AC58" s="62" t="str"/>
      <x:c r="AD58" s="62" t="str"/>
      <x:c r="AE58" s="62" t="str"/>
      <x:c r="AF58" s="62" t="str"/>
      <x:c r="AG58" s="62" t="str"/>
      <x:c r="AH58" s="62" t="str"/>
      <x:c r="AI58" s="62" t="str"/>
      <x:c r="AJ58" s="62" t="str"/>
      <x:c r="AK58" s="62" t="str"/>
      <x:c r="AL58" s="62" t="str"/>
      <x:c r="AM58" s="62" t="str"/>
      <x:c r="AN58" s="62" t="str"/>
      <x:c r="AO58" s="62" t="str"/>
      <x:c r="AP58" s="62" t="str"/>
      <x:c r="AQ58" s="62" t="str"/>
      <x:c r="AR58" s="62" t="str"/>
      <x:c r="AS58" s="62" t="str"/>
      <x:c r="AT58" s="62" t="str">
        <x:v>Anytime multi-agent path finding (MAPF) is a promising approach to scalable path optimization in large-scale multi-agent systems. State-of-the-art anytime MAPF is based on Large Neighborhood Search (LNS), where a fast initial solution is iteratively optimized by destroying and repairing a fixed number of parts, i.e., the neighborhood of the solution, using randomized destroy heuristics and prioritized planning. Despite their recent success in various MAPF instances, current LNS-based approaches lack exploration and flexibility due to greedy optimization with a fixed neighborhood size which can</x:v>
      </x:c>
      <x:c r="AU58" s="62" t="str">
        <x:v>No full-text direct evidence extracted in step 4.</x:v>
      </x:c>
      <x:c r="AV58" s="62" t="str">
        <x:v>Preliminary relevance inference: meets all concept groups for S4.</x:v>
      </x:c>
      <x:c r="AW58" s="62" t="str">
        <x:v>Title/abstract screening cannot establish implementation identity, novelty, or performance comparability.</x:v>
      </x:c>
      <x:c r="AX58" s="62" t="str">
        <x:v>Verify original full text, method details, experimental budget, and six comparability dimensions.</x:v>
      </x:c>
      <x:c r="AY58" s="62" t="str">
        <x:v>unresolved</x:v>
      </x:c>
      <x:c r="AZ58" s="62" t="str">
        <x:v>indirect</x:v>
      </x:c>
      <x:c r="BA58" s="62" t="str">
        <x:v>Title/abstract screened; full-text pending</x:v>
      </x:c>
      <x:c r="BB58" s="62">
        <x:f>IF(COUNTA(B58:BC58)=0,"",IF(A58="","MISSING ID",IFERROR(IF(AND(LEFT(A58,1)="L",ISNUMBER(SEARCH("-E",A58))),"OK","CHECK ID"),"CHECK ID")))</x:f>
      </x:c>
    </x:row>
    <x:row r="59" ht="48" customHeight="1">
      <x:c r="A59" s="63" t="str">
        <x:v>L083-E01</x:v>
      </x:c>
      <x:c r="B59" s="63" t="str">
        <x:v>L083</x:v>
      </x:c>
      <x:c r="C59" s="63" t="str">
        <x:v>arXiv S3,S5; title+abstract</x:v>
      </x:c>
      <x:c r="D59" s="63" t="str">
        <x:v>Database abstract available</x:v>
      </x:c>
      <x:c r="E59" s="63" t="str">
        <x:v>shop scheduling mechanism</x:v>
      </x:c>
      <x:c r="F59" s="63" t="str">
        <x:v>workshop</x:v>
      </x:c>
      <x:c r="G59" s="63" t="str">
        <x:v>neighborhood/operator/heuristic selection</x:v>
      </x:c>
      <x:c r="H59" s="63" t="str">
        <x:v>problem entities not yet extracted</x:v>
      </x:c>
      <x:c r="I59" s="63" t="str">
        <x:v>Pending full-text extraction</x:v>
      </x:c>
      <x:c r="J59" s="63" t="str">
        <x:v>Pending full-text extraction</x:v>
      </x:c>
      <x:c r="K59" s="63" t="str">
        <x:v>Pending full-text extraction</x:v>
      </x:c>
      <x:c r="L59" s="63" t="str">
        <x:v>Pending full-text extraction</x:v>
      </x:c>
      <x:c r="M59" s="63" t="str">
        <x:v>workshop</x:v>
      </x:c>
      <x:c r="N59" s="63" t="str">
        <x:v>dynamic/online</x:v>
      </x:c>
      <x:c r="O59" s="63" t="str"/>
      <x:c r="P59" s="63" t="str"/>
      <x:c r="Q59" s="63" t="str"/>
      <x:c r="R59" s="63" t="str"/>
      <x:c r="S59" s="63" t="str"/>
      <x:c r="T59" s="63" t="str"/>
      <x:c r="U59" s="63" t="str">
        <x:v>mechanism-transfer candidate</x:v>
      </x:c>
      <x:c r="V59" s="63" t="str">
        <x:v>RL hyper-heuristic</x:v>
      </x:c>
      <x:c r="W59" s="63" t="str"/>
      <x:c r="X59" s="63" t="str">
        <x:v>Frozen-query match: S3,S5; source queries: S3,S5</x:v>
      </x:c>
      <x:c r="Y59" s="63" t="str"/>
      <x:c r="Z59" s="63" t="str"/>
      <x:c r="AA59" s="63" t="str"/>
      <x:c r="AB59" s="63" t="str"/>
      <x:c r="AC59" s="63" t="str"/>
      <x:c r="AD59" s="63" t="str"/>
      <x:c r="AE59" s="63" t="str"/>
      <x:c r="AF59" s="63" t="str"/>
      <x:c r="AG59" s="63" t="str"/>
      <x:c r="AH59" s="63" t="str"/>
      <x:c r="AI59" s="63" t="str"/>
      <x:c r="AJ59" s="63" t="str"/>
      <x:c r="AK59" s="63" t="str"/>
      <x:c r="AL59" s="63" t="str"/>
      <x:c r="AM59" s="63" t="str"/>
      <x:c r="AN59" s="63" t="str"/>
      <x:c r="AO59" s="63" t="str"/>
      <x:c r="AP59" s="63" t="str"/>
      <x:c r="AQ59" s="63" t="str"/>
      <x:c r="AR59" s="63" t="str"/>
      <x:c r="AS59" s="63" t="str"/>
      <x:c r="AT59" s="63" t="str">
        <x:v>This study develops a framework based on reinforcement learning to dynamically manage a large portfolio of search operators within meta-heuristics. Using the idea of tabu search, the framework allows for continuous adaptation by temporarily excluding less efficient operators and updating the portfolio composition during the search. A Q-learning-based adaptive operator selection mechanism is used to select the most suitable operator from the dynamically updated portfolio at each stage. Unlike traditional approaches, the proposed framework requires no input from the experts regarding the search </x:v>
      </x:c>
      <x:c r="AU59" s="63" t="str">
        <x:v>No full-text direct evidence extracted in step 4.</x:v>
      </x:c>
      <x:c r="AV59" s="63" t="str">
        <x:v>Preliminary relevance inference: meets all concept groups for S3, S5.</x:v>
      </x:c>
      <x:c r="AW59" s="63" t="str">
        <x:v>Title/abstract screening cannot establish implementation identity, novelty, or performance comparability.</x:v>
      </x:c>
      <x:c r="AX59" s="63" t="str">
        <x:v>Verify original full text, method details, experimental budget, and six comparability dimensions.</x:v>
      </x:c>
      <x:c r="AY59" s="63" t="str">
        <x:v>unresolved</x:v>
      </x:c>
      <x:c r="AZ59" s="63" t="str">
        <x:v>indirect</x:v>
      </x:c>
      <x:c r="BA59" s="63" t="str">
        <x:v>Title/abstract screened; full-text pending</x:v>
      </x:c>
      <x:c r="BB59" s="63">
        <x:f>IF(COUNTA(B59:BC59)=0,"",IF(A59="","MISSING ID",IFERROR(IF(AND(LEFT(A59,1)="L",ISNUMBER(SEARCH("-E",A59))),"OK","CHECK ID"),"CHECK ID")))</x:f>
      </x:c>
    </x:row>
    <x:row r="60" ht="48" customHeight="1">
      <x:c r="A60" s="62" t="str">
        <x:v>L084-E01</x:v>
      </x:c>
      <x:c r="B60" s="62" t="str">
        <x:v>L084</x:v>
      </x:c>
      <x:c r="C60" s="62" t="str">
        <x:v>arXiv S2,S4; title+abstract</x:v>
      </x:c>
      <x:c r="D60" s="62" t="str">
        <x:v>Database abstract available</x:v>
      </x:c>
      <x:c r="E60" s="62" t="str">
        <x:v>shop scheduling mechanism</x:v>
      </x:c>
      <x:c r="F60" s="62" t="str">
        <x:v>workshop</x:v>
      </x:c>
      <x:c r="G60" s="62" t="str">
        <x:v>critical/bottleneck region or local-search move</x:v>
      </x:c>
      <x:c r="H60" s="62" t="str">
        <x:v>problem entities not yet extracted</x:v>
      </x:c>
      <x:c r="I60" s="62" t="str">
        <x:v>Pending full-text extraction</x:v>
      </x:c>
      <x:c r="J60" s="62" t="str">
        <x:v>Pending full-text extraction</x:v>
      </x:c>
      <x:c r="K60" s="62" t="str">
        <x:v>Pending full-text extraction</x:v>
      </x:c>
      <x:c r="L60" s="62" t="str">
        <x:v>Pending full-text extraction</x:v>
      </x:c>
      <x:c r="M60" s="62" t="str">
        <x:v>workshop</x:v>
      </x:c>
      <x:c r="N60" s="62" t="str">
        <x:v>static/offline or not stated</x:v>
      </x:c>
      <x:c r="O60" s="62" t="str"/>
      <x:c r="P60" s="62" t="str"/>
      <x:c r="Q60" s="62" t="str"/>
      <x:c r="R60" s="62" t="str"/>
      <x:c r="S60" s="62" t="str"/>
      <x:c r="T60" s="62" t="str"/>
      <x:c r="U60" s="62" t="str">
        <x:v>mechanism-transfer candidate</x:v>
      </x:c>
      <x:c r="V60" s="62" t="str">
        <x:v>adaptive search control</x:v>
      </x:c>
      <x:c r="W60" s="62" t="str"/>
      <x:c r="X60" s="62" t="str">
        <x:v>Frozen-query match: S2,S4; source queries: S2,S4</x:v>
      </x:c>
      <x:c r="Y60" s="62" t="str"/>
      <x:c r="Z60" s="62" t="str"/>
      <x:c r="AA60" s="62" t="str"/>
      <x:c r="AB60" s="62" t="str"/>
      <x:c r="AC60" s="62" t="str"/>
      <x:c r="AD60" s="62" t="str"/>
      <x:c r="AE60" s="62" t="str"/>
      <x:c r="AF60" s="62" t="str"/>
      <x:c r="AG60" s="62" t="str"/>
      <x:c r="AH60" s="62" t="str"/>
      <x:c r="AI60" s="62" t="str"/>
      <x:c r="AJ60" s="62" t="str"/>
      <x:c r="AK60" s="62" t="str"/>
      <x:c r="AL60" s="62" t="str"/>
      <x:c r="AM60" s="62" t="str"/>
      <x:c r="AN60" s="62" t="str"/>
      <x:c r="AO60" s="62" t="str"/>
      <x:c r="AP60" s="62" t="str"/>
      <x:c r="AQ60" s="62" t="str"/>
      <x:c r="AR60" s="62" t="str"/>
      <x:c r="AS60" s="62" t="str"/>
      <x:c r="AT60" s="62" t="str">
        <x:v>The flexible job shop scheduling problem with sequencing flexibility and position-based learning effect is considered in the present work. In [K. A. G. Araujo, E. G. Birgin, and D. P. Ronconi, Technical Report MCDO02022024, 2024], models, constructive heuristics, and benchmark instances for the same problem were introduced. In the present work, we are concerned with the development of effective and efficient methods for its resolution. For this purpose, a local search method and four trajectory metaheuristics are considered. In the local search, we show that the classical strategy of only real</x:v>
      </x:c>
      <x:c r="AU60" s="62" t="str">
        <x:v>No full-text direct evidence extracted in step 4.</x:v>
      </x:c>
      <x:c r="AV60" s="62" t="str">
        <x:v>Preliminary relevance inference: meets all concept groups for S2, S4.</x:v>
      </x:c>
      <x:c r="AW60" s="62" t="str">
        <x:v>Title/abstract screening cannot establish implementation identity, novelty, or performance comparability.</x:v>
      </x:c>
      <x:c r="AX60" s="62" t="str">
        <x:v>Verify original full text, method details, experimental budget, and six comparability dimensions.</x:v>
      </x:c>
      <x:c r="AY60" s="62" t="str">
        <x:v>unresolved</x:v>
      </x:c>
      <x:c r="AZ60" s="62" t="str">
        <x:v>indirect</x:v>
      </x:c>
      <x:c r="BA60" s="62" t="str">
        <x:v>Title/abstract screened; full-text pending</x:v>
      </x:c>
      <x:c r="BB60" s="62">
        <x:f>IF(COUNTA(B60:BC60)=0,"",IF(A60="","MISSING ID",IFERROR(IF(AND(LEFT(A60,1)="L",ISNUMBER(SEARCH("-E",A60))),"OK","CHECK ID"),"CHECK ID")))</x:f>
      </x:c>
    </x:row>
    <x:row r="61" ht="48" customHeight="1">
      <x:c r="A61" s="63" t="str">
        <x:v>L085-E01</x:v>
      </x:c>
      <x:c r="B61" s="63" t="str">
        <x:v>L085</x:v>
      </x:c>
      <x:c r="C61" s="63" t="str">
        <x:v>arXiv S2; title+abstract</x:v>
      </x:c>
      <x:c r="D61" s="63" t="str">
        <x:v>Database abstract available</x:v>
      </x:c>
      <x:c r="E61" s="63" t="str">
        <x:v>transferable search-control mechanism</x:v>
      </x:c>
      <x:c r="F61" s="63" t="str">
        <x:v>cross-domain optimization</x:v>
      </x:c>
      <x:c r="G61" s="63" t="str">
        <x:v>critical/bottleneck region or local-search move</x:v>
      </x:c>
      <x:c r="H61" s="63" t="str">
        <x:v>problem entities not yet extracted</x:v>
      </x:c>
      <x:c r="I61" s="63" t="str">
        <x:v>Pending full-text extraction</x:v>
      </x:c>
      <x:c r="J61" s="63" t="str">
        <x:v>Pending full-text extraction</x:v>
      </x:c>
      <x:c r="K61" s="63" t="str">
        <x:v>Pending full-text extraction</x:v>
      </x:c>
      <x:c r="L61" s="63" t="str">
        <x:v>Pending full-text extraction</x:v>
      </x:c>
      <x:c r="M61" s="63" t="str">
        <x:v>cross-domain optimization</x:v>
      </x:c>
      <x:c r="N61" s="63" t="str">
        <x:v>static/offline or not stated</x:v>
      </x:c>
      <x:c r="O61" s="63" t="str"/>
      <x:c r="P61" s="63" t="str"/>
      <x:c r="Q61" s="63" t="str"/>
      <x:c r="R61" s="63" t="str"/>
      <x:c r="S61" s="63" t="str"/>
      <x:c r="T61" s="63" t="str"/>
      <x:c r="U61" s="63" t="str">
        <x:v>mechanism-transfer candidate</x:v>
      </x:c>
      <x:c r="V61" s="63" t="str">
        <x:v>scheduling/metaheuristic</x:v>
      </x:c>
      <x:c r="W61" s="63" t="str"/>
      <x:c r="X61" s="63" t="str">
        <x:v>Frozen-query match: S2; source queries: S2</x:v>
      </x:c>
      <x:c r="Y61" s="63" t="str"/>
      <x:c r="Z61" s="63" t="str"/>
      <x:c r="AA61" s="63" t="str"/>
      <x:c r="AB61" s="63" t="str"/>
      <x:c r="AC61" s="63" t="str"/>
      <x:c r="AD61" s="63" t="str"/>
      <x:c r="AE61" s="63" t="str"/>
      <x:c r="AF61" s="63" t="str"/>
      <x:c r="AG61" s="63" t="str"/>
      <x:c r="AH61" s="63" t="str"/>
      <x:c r="AI61" s="63" t="str"/>
      <x:c r="AJ61" s="63" t="str"/>
      <x:c r="AK61" s="63" t="str"/>
      <x:c r="AL61" s="63" t="str"/>
      <x:c r="AM61" s="63" t="str"/>
      <x:c r="AN61" s="63" t="str"/>
      <x:c r="AO61" s="63" t="str"/>
      <x:c r="AP61" s="63" t="str"/>
      <x:c r="AQ61" s="63" t="str"/>
      <x:c r="AR61" s="63" t="str"/>
      <x:c r="AS61" s="63" t="str"/>
      <x:c r="AT61" s="63" t="str">
        <x:v>Mixed-integer linear programs (MILPs) are extensively used to model practical problems such as planning and scheduling. A prominent method for solving MILPs is large neighborhood search (LNS), which iteratively seeks improved solutions within specific neighborhoods. Recent advancements have integrated machine learning techniques into LNS to guide the construction of these neighborhoods effectively. However, for large-scale MILPs, the search step in LNS becomes a computational bottleneck, relying on off-the-shelf solvers to optimize auxiliary MILPs of substantial size. To address this challenge</x:v>
      </x:c>
      <x:c r="AU61" s="63" t="str">
        <x:v>No full-text direct evidence extracted in step 4.</x:v>
      </x:c>
      <x:c r="AV61" s="63" t="str">
        <x:v>Preliminary relevance inference: meets all concept groups for S2.</x:v>
      </x:c>
      <x:c r="AW61" s="63" t="str">
        <x:v>Title/abstract screening cannot establish implementation identity, novelty, or performance comparability.</x:v>
      </x:c>
      <x:c r="AX61" s="63" t="str">
        <x:v>Verify original full text, method details, experimental budget, and six comparability dimensions.</x:v>
      </x:c>
      <x:c r="AY61" s="63" t="str">
        <x:v>unresolved</x:v>
      </x:c>
      <x:c r="AZ61" s="63" t="str">
        <x:v>indirect</x:v>
      </x:c>
      <x:c r="BA61" s="63" t="str">
        <x:v>Title/abstract screened; full-text pending</x:v>
      </x:c>
      <x:c r="BB61" s="63">
        <x:f>IF(COUNTA(B61:BC61)=0,"",IF(A61="","MISSING ID",IFERROR(IF(AND(LEFT(A61,1)="L",ISNUMBER(SEARCH("-E",A61))),"OK","CHECK ID"),"CHECK ID")))</x:f>
      </x:c>
    </x:row>
    <x:row r="62" ht="48" customHeight="1">
      <x:c r="A62" s="62" t="str">
        <x:v>L086-E01</x:v>
      </x:c>
      <x:c r="B62" s="62" t="str">
        <x:v>L086</x:v>
      </x:c>
      <x:c r="C62" s="62" t="str">
        <x:v>OpenAlex+OpenAlex-S6-trace S3,S6; title+abstract</x:v>
      </x:c>
      <x:c r="D62" s="62" t="str">
        <x:v>Database abstract available</x:v>
      </x:c>
      <x:c r="E62" s="62" t="str">
        <x:v>transferable search-control mechanism</x:v>
      </x:c>
      <x:c r="F62" s="62" t="str">
        <x:v>cross-domain optimization</x:v>
      </x:c>
      <x:c r="G62" s="62" t="str">
        <x:v>neighborhood/operator/heuristic selection</x:v>
      </x:c>
      <x:c r="H62" s="62" t="str">
        <x:v>problem entities not yet extracted</x:v>
      </x:c>
      <x:c r="I62" s="62" t="str">
        <x:v>Pending full-text extraction</x:v>
      </x:c>
      <x:c r="J62" s="62" t="str">
        <x:v>Pending full-text extraction</x:v>
      </x:c>
      <x:c r="K62" s="62" t="str">
        <x:v>Pending full-text extraction</x:v>
      </x:c>
      <x:c r="L62" s="62" t="str">
        <x:v>Pending full-text extraction</x:v>
      </x:c>
      <x:c r="M62" s="62" t="str">
        <x:v>cross-domain optimization</x:v>
      </x:c>
      <x:c r="N62" s="62" t="str">
        <x:v>static/offline or not stated</x:v>
      </x:c>
      <x:c r="O62" s="62" t="str"/>
      <x:c r="P62" s="62" t="str"/>
      <x:c r="Q62" s="62" t="str"/>
      <x:c r="R62" s="62" t="str"/>
      <x:c r="S62" s="62" t="str"/>
      <x:c r="T62" s="62" t="str"/>
      <x:c r="U62" s="62" t="str">
        <x:v>mechanism-transfer candidate</x:v>
      </x:c>
      <x:c r="V62" s="62" t="str">
        <x:v>adaptive operator selection</x:v>
      </x:c>
      <x:c r="W62" s="62" t="str"/>
      <x:c r="X62" s="62" t="str">
        <x:v>Frozen-query match: S3; source queries: S3,S6</x:v>
      </x:c>
      <x:c r="Y62" s="62" t="str"/>
      <x:c r="Z62" s="62" t="str"/>
      <x:c r="AA62" s="62" t="str"/>
      <x:c r="AB62" s="62" t="str"/>
      <x:c r="AC62" s="62" t="str"/>
      <x:c r="AD62" s="62" t="str"/>
      <x:c r="AE62" s="62" t="str"/>
      <x:c r="AF62" s="62" t="str"/>
      <x:c r="AG62" s="62" t="str"/>
      <x:c r="AH62" s="62" t="str"/>
      <x:c r="AI62" s="62" t="str"/>
      <x:c r="AJ62" s="62" t="str"/>
      <x:c r="AK62" s="62" t="str"/>
      <x:c r="AL62" s="62" t="str"/>
      <x:c r="AM62" s="62" t="str"/>
      <x:c r="AN62" s="62" t="str"/>
      <x:c r="AO62" s="62" t="str"/>
      <x:c r="AP62" s="62" t="str"/>
      <x:c r="AQ62" s="62" t="str"/>
      <x:c r="AR62" s="62" t="str"/>
      <x:c r="AS62" s="62" t="str"/>
      <x:c r="AT62" s="62" t="str">
        <x:v>Many problem-specific heuristic frameworks have been developed to solve combinatorial optimization problems, but these frameworks do not generalize well to other problem domains. Metaheuristic frameworks aim to be more generalizable compared to traditional heuristics, however their performances suffer from poor selection of low-level heuristics (operators) during the search process. An example of heuristic selection in a metaheuristic framework is the adaptive layer of the popular framework of Adaptive Large Neighborhood Search (ALNS). Here, we propose a selection hyperheuristic framework that</x:v>
      </x:c>
      <x:c r="AU62" s="62" t="str">
        <x:v>No full-text direct evidence extracted in step 4.</x:v>
      </x:c>
      <x:c r="AV62" s="62" t="str">
        <x:v>Preliminary relevance inference: meets all concept groups for S3.</x:v>
      </x:c>
      <x:c r="AW62" s="62" t="str">
        <x:v>Title/abstract screening cannot establish implementation identity, novelty, or performance comparability.</x:v>
      </x:c>
      <x:c r="AX62" s="62" t="str">
        <x:v>Verify original full text, method details, experimental budget, and six comparability dimensions.</x:v>
      </x:c>
      <x:c r="AY62" s="62" t="str">
        <x:v>unresolved</x:v>
      </x:c>
      <x:c r="AZ62" s="62" t="str">
        <x:v>indirect</x:v>
      </x:c>
      <x:c r="BA62" s="62" t="str">
        <x:v>Title/abstract screened; full-text pending</x:v>
      </x:c>
      <x:c r="BB62" s="62">
        <x:f>IF(COUNTA(B62:BC62)=0,"",IF(A62="","MISSING ID",IFERROR(IF(AND(LEFT(A62,1)="L",ISNUMBER(SEARCH("-E",A62))),"OK","CHECK ID"),"CHECK ID")))</x:f>
      </x:c>
    </x:row>
    <x:row r="63" ht="48" customHeight="1">
      <x:c r="A63" s="63" t="str">
        <x:v>L087-E01</x:v>
      </x:c>
      <x:c r="B63" s="63" t="str">
        <x:v>L087</x:v>
      </x:c>
      <x:c r="C63" s="63" t="str">
        <x:v>OpenAlex S5; title+metadata</x:v>
      </x:c>
      <x:c r="D63" s="63" t="str">
        <x:v>Abstract unavailable</x:v>
      </x:c>
      <x:c r="E63" s="63" t="str">
        <x:v>transferable search-control mechanism</x:v>
      </x:c>
      <x:c r="F63" s="63" t="str">
        <x:v>cross-domain optimization</x:v>
      </x:c>
      <x:c r="G63" s="63" t="str">
        <x:v>neighborhood/operator/heuristic selection</x:v>
      </x:c>
      <x:c r="H63" s="63" t="str">
        <x:v>problem entities not yet extracted</x:v>
      </x:c>
      <x:c r="I63" s="63" t="str">
        <x:v>Pending full-text extraction</x:v>
      </x:c>
      <x:c r="J63" s="63" t="str">
        <x:v>Pending full-text extraction</x:v>
      </x:c>
      <x:c r="K63" s="63" t="str">
        <x:v>Pending full-text extraction</x:v>
      </x:c>
      <x:c r="L63" s="63" t="str">
        <x:v>Pending full-text extraction</x:v>
      </x:c>
      <x:c r="M63" s="63" t="str">
        <x:v>cross-domain optimization</x:v>
      </x:c>
      <x:c r="N63" s="63" t="str">
        <x:v>static/offline or not stated</x:v>
      </x:c>
      <x:c r="O63" s="63" t="str"/>
      <x:c r="P63" s="63" t="str"/>
      <x:c r="Q63" s="63" t="str"/>
      <x:c r="R63" s="63" t="str"/>
      <x:c r="S63" s="63" t="str"/>
      <x:c r="T63" s="63" t="str"/>
      <x:c r="U63" s="63" t="str">
        <x:v>mechanism-transfer candidate</x:v>
      </x:c>
      <x:c r="V63" s="63" t="str">
        <x:v>RL hyper-heuristic</x:v>
      </x:c>
      <x:c r="W63" s="63" t="str"/>
      <x:c r="X63" s="63" t="str">
        <x:v>Frozen-query match: S3,S5; source queries: S5</x:v>
      </x:c>
      <x:c r="Y63" s="63" t="str"/>
      <x:c r="Z63" s="63" t="str"/>
      <x:c r="AA63" s="63" t="str"/>
      <x:c r="AB63" s="63" t="str"/>
      <x:c r="AC63" s="63" t="str"/>
      <x:c r="AD63" s="63" t="str"/>
      <x:c r="AE63" s="63" t="str"/>
      <x:c r="AF63" s="63" t="str"/>
      <x:c r="AG63" s="63" t="str"/>
      <x:c r="AH63" s="63" t="str"/>
      <x:c r="AI63" s="63" t="str"/>
      <x:c r="AJ63" s="63" t="str"/>
      <x:c r="AK63" s="63" t="str"/>
      <x:c r="AL63" s="63" t="str"/>
      <x:c r="AM63" s="63" t="str"/>
      <x:c r="AN63" s="63" t="str"/>
      <x:c r="AO63" s="63" t="str"/>
      <x:c r="AP63" s="63" t="str"/>
      <x:c r="AQ63" s="63" t="str"/>
      <x:c r="AR63" s="63" t="str"/>
      <x:c r="AS63" s="63" t="str"/>
      <x:c r="AT63" s="63" t="str">
        <x:v>No abstract retrieved; no author conclusion extracted.</x:v>
      </x:c>
      <x:c r="AU63" s="63" t="str">
        <x:v>No full-text direct evidence extracted in step 4.</x:v>
      </x:c>
      <x:c r="AV63" s="63" t="str">
        <x:v>Preliminary relevance inference: meets all concept groups for S3, S5.</x:v>
      </x:c>
      <x:c r="AW63" s="63" t="str">
        <x:v>Title/abstract screening cannot establish implementation identity, novelty, or performance comparability.</x:v>
      </x:c>
      <x:c r="AX63" s="63" t="str">
        <x:v>Verify original full text, method details, experimental budget, and six comparability dimensions.</x:v>
      </x:c>
      <x:c r="AY63" s="63" t="str">
        <x:v>unresolved</x:v>
      </x:c>
      <x:c r="AZ63" s="63" t="str">
        <x:v>indirect</x:v>
      </x:c>
      <x:c r="BA63" s="63" t="str">
        <x:v>Title/abstract screened; full-text pending</x:v>
      </x:c>
      <x:c r="BB63" s="63">
        <x:f>IF(COUNTA(B63:BC63)=0,"",IF(A63="","MISSING ID",IFERROR(IF(AND(LEFT(A63,1)="L",ISNUMBER(SEARCH("-E",A63))),"OK","CHECK ID"),"CHECK ID")))</x:f>
      </x:c>
    </x:row>
    <x:row r="64" ht="48" customHeight="1">
      <x:c r="A64" s="62" t="str">
        <x:v>L088-E01</x:v>
      </x:c>
      <x:c r="B64" s="62" t="str">
        <x:v>L088</x:v>
      </x:c>
      <x:c r="C64" s="62" t="str">
        <x:v>OpenAlex S3,S5; title+abstract</x:v>
      </x:c>
      <x:c r="D64" s="62" t="str">
        <x:v>Database abstract available</x:v>
      </x:c>
      <x:c r="E64" s="62" t="str">
        <x:v>shop scheduling mechanism</x:v>
      </x:c>
      <x:c r="F64" s="62" t="str">
        <x:v>workshop</x:v>
      </x:c>
      <x:c r="G64" s="62" t="str">
        <x:v>neighborhood/operator/heuristic selection</x:v>
      </x:c>
      <x:c r="H64" s="62" t="str">
        <x:v>problem entities not yet extracted</x:v>
      </x:c>
      <x:c r="I64" s="62" t="str">
        <x:v>Pending full-text extraction</x:v>
      </x:c>
      <x:c r="J64" s="62" t="str">
        <x:v>Pending full-text extraction</x:v>
      </x:c>
      <x:c r="K64" s="62" t="str">
        <x:v>Pending full-text extraction</x:v>
      </x:c>
      <x:c r="L64" s="62" t="str">
        <x:v>Pending full-text extraction</x:v>
      </x:c>
      <x:c r="M64" s="62" t="str">
        <x:v>workshop</x:v>
      </x:c>
      <x:c r="N64" s="62" t="str">
        <x:v>dynamic/online</x:v>
      </x:c>
      <x:c r="O64" s="62" t="str"/>
      <x:c r="P64" s="62" t="str"/>
      <x:c r="Q64" s="62" t="str"/>
      <x:c r="R64" s="62" t="str"/>
      <x:c r="S64" s="62" t="str"/>
      <x:c r="T64" s="62" t="str"/>
      <x:c r="U64" s="62" t="str">
        <x:v>mechanism-transfer candidate</x:v>
      </x:c>
      <x:c r="V64" s="62" t="str">
        <x:v>RL hyper-heuristic</x:v>
      </x:c>
      <x:c r="W64" s="62" t="str"/>
      <x:c r="X64" s="62" t="str">
        <x:v>Frozen-query match: S3,S4,S5; source queries: S3,S5</x:v>
      </x:c>
      <x:c r="Y64" s="62" t="str"/>
      <x:c r="Z64" s="62" t="str"/>
      <x:c r="AA64" s="62" t="str"/>
      <x:c r="AB64" s="62" t="str"/>
      <x:c r="AC64" s="62" t="str"/>
      <x:c r="AD64" s="62" t="str"/>
      <x:c r="AE64" s="62" t="str"/>
      <x:c r="AF64" s="62" t="str"/>
      <x:c r="AG64" s="62" t="str"/>
      <x:c r="AH64" s="62" t="str"/>
      <x:c r="AI64" s="62" t="str"/>
      <x:c r="AJ64" s="62" t="str"/>
      <x:c r="AK64" s="62" t="str"/>
      <x:c r="AL64" s="62" t="str"/>
      <x:c r="AM64" s="62" t="str"/>
      <x:c r="AN64" s="62" t="str"/>
      <x:c r="AO64" s="62" t="str"/>
      <x:c r="AP64" s="62" t="str"/>
      <x:c r="AQ64" s="62" t="str"/>
      <x:c r="AR64" s="62" t="str"/>
      <x:c r="AS64" s="62" t="str"/>
      <x:c r="AT64" s="62" t="str">
        <x:v>Distributed manufacturing involving heterogeneous factories presents significant challenges to enterprises. Furthermore, the need to prioritize various jobs based on order urgency and customer importance further complicates the scheduling process. Consequently, this study addresses the practical issue by tackling the distributed heterogeneous hybrid flow shop scheduling problem with multiple priorities of jobs (DHHFSP-MPJ). The primary objective is to simultaneously minimize the total weighted tardiness and total energy consumption. To solve DHHFSP-MPJ, a double deep Q-network-based co-evoluti</x:v>
      </x:c>
      <x:c r="AU64" s="62" t="str">
        <x:v>No full-text direct evidence extracted in step 4.</x:v>
      </x:c>
      <x:c r="AV64" s="62" t="str">
        <x:v>Preliminary relevance inference: meets all concept groups for S3, S4, S5.</x:v>
      </x:c>
      <x:c r="AW64" s="62" t="str">
        <x:v>Title/abstract screening cannot establish implementation identity, novelty, or performance comparability.</x:v>
      </x:c>
      <x:c r="AX64" s="62" t="str">
        <x:v>Verify original full text, method details, experimental budget, and six comparability dimensions.</x:v>
      </x:c>
      <x:c r="AY64" s="62" t="str">
        <x:v>unresolved</x:v>
      </x:c>
      <x:c r="AZ64" s="62" t="str">
        <x:v>indirect</x:v>
      </x:c>
      <x:c r="BA64" s="62" t="str">
        <x:v>Title/abstract screened; full-text pending</x:v>
      </x:c>
      <x:c r="BB64" s="62">
        <x:f>IF(COUNTA(B64:BC64)=0,"",IF(A64="","MISSING ID",IFERROR(IF(AND(LEFT(A64,1)="L",ISNUMBER(SEARCH("-E",A64))),"OK","CHECK ID"),"CHECK ID")))</x:f>
      </x:c>
    </x:row>
    <x:row r="65" ht="48" customHeight="1">
      <x:c r="A65" s="63" t="str">
        <x:v>L089-E01</x:v>
      </x:c>
      <x:c r="B65" s="63" t="str">
        <x:v>L089</x:v>
      </x:c>
      <x:c r="C65" s="63" t="str">
        <x:v>OpenAlex S1; title+abstract</x:v>
      </x:c>
      <x:c r="D65" s="63" t="str">
        <x:v>Database abstract available</x:v>
      </x:c>
      <x:c r="E65" s="63" t="str">
        <x:v>machine–AGV joint scheduling</x:v>
      </x:c>
      <x:c r="F65" s="63" t="str">
        <x:v>workshop</x:v>
      </x:c>
      <x:c r="G65" s="63" t="str">
        <x:v>critical/bottleneck region or local-search move</x:v>
      </x:c>
      <x:c r="H65" s="63" t="str">
        <x:v>jobs, operations, machines, AGVs</x:v>
      </x:c>
      <x:c r="I65" s="63" t="str">
        <x:v>Pending full-text extraction</x:v>
      </x:c>
      <x:c r="J65" s="63" t="str">
        <x:v>Pending full-text extraction</x:v>
      </x:c>
      <x:c r="K65" s="63" t="str">
        <x:v>Pending full-text extraction</x:v>
      </x:c>
      <x:c r="L65" s="63" t="str">
        <x:v>Pending full-text extraction</x:v>
      </x:c>
      <x:c r="M65" s="63" t="str">
        <x:v>workshop</x:v>
      </x:c>
      <x:c r="N65" s="63" t="str">
        <x:v>dynamic/online</x:v>
      </x:c>
      <x:c r="O65" s="63" t="str"/>
      <x:c r="P65" s="63" t="str"/>
      <x:c r="Q65" s="63" t="str"/>
      <x:c r="R65" s="63" t="str"/>
      <x:c r="S65" s="63" t="str"/>
      <x:c r="T65" s="63" t="str"/>
      <x:c r="U65" s="63" t="str">
        <x:v>machine–transport coupled</x:v>
      </x:c>
      <x:c r="V65" s="63" t="str">
        <x:v>scheduling/metaheuristic</x:v>
      </x:c>
      <x:c r="W65" s="63" t="str"/>
      <x:c r="X65" s="63" t="str">
        <x:v>Frozen-query match: S2; source queries: S1</x:v>
      </x:c>
      <x:c r="Y65" s="63" t="str"/>
      <x:c r="Z65" s="63" t="str"/>
      <x:c r="AA65" s="63" t="str"/>
      <x:c r="AB65" s="63" t="str"/>
      <x:c r="AC65" s="63" t="str"/>
      <x:c r="AD65" s="63" t="str"/>
      <x:c r="AE65" s="63" t="str"/>
      <x:c r="AF65" s="63" t="str"/>
      <x:c r="AG65" s="63" t="str"/>
      <x:c r="AH65" s="63" t="str"/>
      <x:c r="AI65" s="63" t="str"/>
      <x:c r="AJ65" s="63" t="str"/>
      <x:c r="AK65" s="63" t="str"/>
      <x:c r="AL65" s="63" t="str"/>
      <x:c r="AM65" s="63" t="str"/>
      <x:c r="AN65" s="63" t="str"/>
      <x:c r="AO65" s="63" t="str"/>
      <x:c r="AP65" s="63" t="str"/>
      <x:c r="AQ65" s="63" t="str"/>
      <x:c r="AR65" s="63" t="str"/>
      <x:c r="AS65" s="63" t="str"/>
      <x:c r="AT65" s="63" t="str">
        <x:v>Emergencies such as machine breakdowns and rush orders greatly affect the production activities of manufacturing enterprises. How to deal with the rescheduling problem after emergencies have high practical value. Meanwhile, under the background of intelligent manufacturing, automatic guided vehicles are gradually emerging in enterprises. To deal with the disturbances in flexible job shop scheduling problem with automatic guided vehicle transportation, a mixed-integer linear programming model is established. According to the traits of this model, an improved NSGA-II is designed, aiming at minim</x:v>
      </x:c>
      <x:c r="AU65" s="63" t="str">
        <x:v>No full-text direct evidence extracted in step 4.</x:v>
      </x:c>
      <x:c r="AV65" s="63" t="str">
        <x:v>Preliminary relevance inference: meets all concept groups for S2.</x:v>
      </x:c>
      <x:c r="AW65" s="63" t="str">
        <x:v>Title/abstract screening cannot establish implementation identity, novelty, or performance comparability.</x:v>
      </x:c>
      <x:c r="AX65" s="63" t="str">
        <x:v>Verify original full text, method details, experimental budget, and six comparability dimensions.</x:v>
      </x:c>
      <x:c r="AY65" s="63" t="str">
        <x:v>unresolved</x:v>
      </x:c>
      <x:c r="AZ65" s="63" t="str">
        <x:v>indirect</x:v>
      </x:c>
      <x:c r="BA65" s="63" t="str">
        <x:v>Title/abstract screened; full-text pending</x:v>
      </x:c>
      <x:c r="BB65" s="63">
        <x:f>IF(COUNTA(B65:BC65)=0,"",IF(A65="","MISSING ID",IFERROR(IF(AND(LEFT(A65,1)="L",ISNUMBER(SEARCH("-E",A65))),"OK","CHECK ID"),"CHECK ID")))</x:f>
      </x:c>
    </x:row>
    <x:row r="66" ht="48" customHeight="1">
      <x:c r="A66" s="62" t="str">
        <x:v>L090-E01</x:v>
      </x:c>
      <x:c r="B66" s="62" t="str">
        <x:v>L090</x:v>
      </x:c>
      <x:c r="C66" s="62" t="str">
        <x:v>arXiv S5; title+abstract</x:v>
      </x:c>
      <x:c r="D66" s="62" t="str">
        <x:v>Database abstract available</x:v>
      </x:c>
      <x:c r="E66" s="62" t="str">
        <x:v>transferable search-control mechanism</x:v>
      </x:c>
      <x:c r="F66" s="62" t="str">
        <x:v>routing/transport</x:v>
      </x:c>
      <x:c r="G66" s="62" t="str">
        <x:v>neighborhood/operator/heuristic selection</x:v>
      </x:c>
      <x:c r="H66" s="62" t="str">
        <x:v>problem entities not yet extracted</x:v>
      </x:c>
      <x:c r="I66" s="62" t="str">
        <x:v>Pending full-text extraction</x:v>
      </x:c>
      <x:c r="J66" s="62" t="str">
        <x:v>Pending full-text extraction</x:v>
      </x:c>
      <x:c r="K66" s="62" t="str">
        <x:v>Pending full-text extraction</x:v>
      </x:c>
      <x:c r="L66" s="62" t="str">
        <x:v>Pending full-text extraction</x:v>
      </x:c>
      <x:c r="M66" s="62" t="str">
        <x:v>routing/transport</x:v>
      </x:c>
      <x:c r="N66" s="62" t="str">
        <x:v>dynamic/online</x:v>
      </x:c>
      <x:c r="O66" s="62" t="str"/>
      <x:c r="P66" s="62" t="str"/>
      <x:c r="Q66" s="62" t="str"/>
      <x:c r="R66" s="62" t="str"/>
      <x:c r="S66" s="62" t="str"/>
      <x:c r="T66" s="62" t="str"/>
      <x:c r="U66" s="62" t="str">
        <x:v>mechanism-transfer candidate</x:v>
      </x:c>
      <x:c r="V66" s="62" t="str">
        <x:v>RL hyper-heuristic</x:v>
      </x:c>
      <x:c r="W66" s="62" t="str"/>
      <x:c r="X66" s="62" t="str">
        <x:v>Frozen-query match: S3,S5; source queries: S5</x:v>
      </x:c>
      <x:c r="Y66" s="62" t="str"/>
      <x:c r="Z66" s="62" t="str"/>
      <x:c r="AA66" s="62" t="str"/>
      <x:c r="AB66" s="62" t="str"/>
      <x:c r="AC66" s="62" t="str"/>
      <x:c r="AD66" s="62" t="str"/>
      <x:c r="AE66" s="62" t="str"/>
      <x:c r="AF66" s="62" t="str"/>
      <x:c r="AG66" s="62" t="str"/>
      <x:c r="AH66" s="62" t="str"/>
      <x:c r="AI66" s="62" t="str"/>
      <x:c r="AJ66" s="62" t="str"/>
      <x:c r="AK66" s="62" t="str"/>
      <x:c r="AL66" s="62" t="str"/>
      <x:c r="AM66" s="62" t="str"/>
      <x:c r="AN66" s="62" t="str"/>
      <x:c r="AO66" s="62" t="str"/>
      <x:c r="AP66" s="62" t="str"/>
      <x:c r="AQ66" s="62" t="str"/>
      <x:c r="AR66" s="62" t="str"/>
      <x:c r="AS66" s="62" t="str"/>
      <x:c r="AT66" s="62" t="str">
        <x:v>Column generation (CG) is a vital method to solve large-scale problems by dynamically generating variables. It has extensive applications in common combinatorial optimization, such as vehicle routing and scheduling problems, where each iteration step requires solving an NP-hard constrained shortest path problem. Although some heuristic methods for acceleration already exist, they are not versatile enough to solve different problems. In this work, we propose a reinforcement learning-based hyper-heuristic framework, dubbed RLHH, to enhance the performance of CG. RLHH is a selection module embedd</x:v>
      </x:c>
      <x:c r="AU66" s="62" t="str">
        <x:v>No full-text direct evidence extracted in step 4.</x:v>
      </x:c>
      <x:c r="AV66" s="62" t="str">
        <x:v>Preliminary relevance inference: meets all concept groups for S3, S5.</x:v>
      </x:c>
      <x:c r="AW66" s="62" t="str">
        <x:v>Title/abstract screening cannot establish implementation identity, novelty, or performance comparability.</x:v>
      </x:c>
      <x:c r="AX66" s="62" t="str">
        <x:v>Verify original full text, method details, experimental budget, and six comparability dimensions.</x:v>
      </x:c>
      <x:c r="AY66" s="62" t="str">
        <x:v>unresolved</x:v>
      </x:c>
      <x:c r="AZ66" s="62" t="str">
        <x:v>indirect</x:v>
      </x:c>
      <x:c r="BA66" s="62" t="str">
        <x:v>Title/abstract screened; full-text pending</x:v>
      </x:c>
      <x:c r="BB66" s="62">
        <x:f>IF(COUNTA(B66:BC66)=0,"",IF(A66="","MISSING ID",IFERROR(IF(AND(LEFT(A66,1)="L",ISNUMBER(SEARCH("-E",A66))),"OK","CHECK ID"),"CHECK ID")))</x:f>
      </x:c>
    </x:row>
    <x:row r="67" ht="48" customHeight="1">
      <x:c r="A67" s="63" t="str">
        <x:v>L091-E01</x:v>
      </x:c>
      <x:c r="B67" s="63" t="str">
        <x:v>L091</x:v>
      </x:c>
      <x:c r="C67" s="63" t="str">
        <x:v>OpenAlex-S6-trace S6; title+metadata</x:v>
      </x:c>
      <x:c r="D67" s="63" t="str">
        <x:v>Abstract unavailable</x:v>
      </x:c>
      <x:c r="E67" s="63" t="str">
        <x:v>transferable search-control mechanism</x:v>
      </x:c>
      <x:c r="F67" s="63" t="str">
        <x:v>cross-domain optimization</x:v>
      </x:c>
      <x:c r="G67" s="63" t="str">
        <x:v>neighborhood/operator/heuristic selection</x:v>
      </x:c>
      <x:c r="H67" s="63" t="str">
        <x:v>problem entities not yet extracted</x:v>
      </x:c>
      <x:c r="I67" s="63" t="str">
        <x:v>Pending full-text extraction</x:v>
      </x:c>
      <x:c r="J67" s="63" t="str">
        <x:v>Pending full-text extraction</x:v>
      </x:c>
      <x:c r="K67" s="63" t="str">
        <x:v>Pending full-text extraction</x:v>
      </x:c>
      <x:c r="L67" s="63" t="str">
        <x:v>Pending full-text extraction</x:v>
      </x:c>
      <x:c r="M67" s="63" t="str">
        <x:v>cross-domain optimization</x:v>
      </x:c>
      <x:c r="N67" s="63" t="str">
        <x:v>static/offline or not stated</x:v>
      </x:c>
      <x:c r="O67" s="63" t="str"/>
      <x:c r="P67" s="63" t="str"/>
      <x:c r="Q67" s="63" t="str"/>
      <x:c r="R67" s="63" t="str"/>
      <x:c r="S67" s="63" t="str"/>
      <x:c r="T67" s="63" t="str"/>
      <x:c r="U67" s="63" t="str">
        <x:v>mechanism-transfer candidate</x:v>
      </x:c>
      <x:c r="V67" s="63" t="str">
        <x:v>adaptive operator selection</x:v>
      </x:c>
      <x:c r="W67" s="63" t="str"/>
      <x:c r="X67" s="63" t="str">
        <x:v>Frozen-query match: S3; source queries: S6</x:v>
      </x:c>
      <x:c r="Y67" s="63" t="str"/>
      <x:c r="Z67" s="63" t="str"/>
      <x:c r="AA67" s="63" t="str"/>
      <x:c r="AB67" s="63" t="str"/>
      <x:c r="AC67" s="63" t="str"/>
      <x:c r="AD67" s="63" t="str"/>
      <x:c r="AE67" s="63" t="str"/>
      <x:c r="AF67" s="63" t="str"/>
      <x:c r="AG67" s="63" t="str"/>
      <x:c r="AH67" s="63" t="str"/>
      <x:c r="AI67" s="63" t="str"/>
      <x:c r="AJ67" s="63" t="str"/>
      <x:c r="AK67" s="63" t="str"/>
      <x:c r="AL67" s="63" t="str"/>
      <x:c r="AM67" s="63" t="str"/>
      <x:c r="AN67" s="63" t="str"/>
      <x:c r="AO67" s="63" t="str"/>
      <x:c r="AP67" s="63" t="str"/>
      <x:c r="AQ67" s="63" t="str"/>
      <x:c r="AR67" s="63" t="str"/>
      <x:c r="AS67" s="63" t="str"/>
      <x:c r="AT67" s="63" t="str">
        <x:v>No abstract retrieved; no author conclusion extracted.</x:v>
      </x:c>
      <x:c r="AU67" s="63" t="str">
        <x:v>No full-text direct evidence extracted in step 4.</x:v>
      </x:c>
      <x:c r="AV67" s="63" t="str">
        <x:v>Preliminary relevance inference: meets all concept groups for S3.</x:v>
      </x:c>
      <x:c r="AW67" s="63" t="str">
        <x:v>Title/abstract screening cannot establish implementation identity, novelty, or performance comparability.</x:v>
      </x:c>
      <x:c r="AX67" s="63" t="str">
        <x:v>Verify original full text, method details, experimental budget, and six comparability dimensions.</x:v>
      </x:c>
      <x:c r="AY67" s="63" t="str">
        <x:v>unresolved</x:v>
      </x:c>
      <x:c r="AZ67" s="63" t="str">
        <x:v>indirect</x:v>
      </x:c>
      <x:c r="BA67" s="63" t="str">
        <x:v>Title/abstract screened; full-text pending</x:v>
      </x:c>
      <x:c r="BB67" s="63">
        <x:f>IF(COUNTA(B67:BC67)=0,"",IF(A67="","MISSING ID",IFERROR(IF(AND(LEFT(A67,1)="L",ISNUMBER(SEARCH("-E",A67))),"OK","CHECK ID"),"CHECK ID")))</x:f>
      </x:c>
    </x:row>
    <x:row r="68" ht="48" customHeight="1">
      <x:c r="A68" s="62" t="str">
        <x:v>L092-E01</x:v>
      </x:c>
      <x:c r="B68" s="62" t="str">
        <x:v>L092</x:v>
      </x:c>
      <x:c r="C68" s="62" t="str">
        <x:v>OpenAlex S3; title+abstract</x:v>
      </x:c>
      <x:c r="D68" s="62" t="str">
        <x:v>Database abstract available</x:v>
      </x:c>
      <x:c r="E68" s="62" t="str">
        <x:v>transferable search-control mechanism</x:v>
      </x:c>
      <x:c r="F68" s="62" t="str">
        <x:v>routing/transport</x:v>
      </x:c>
      <x:c r="G68" s="62" t="str">
        <x:v>neighborhood/operator/heuristic selection</x:v>
      </x:c>
      <x:c r="H68" s="62" t="str">
        <x:v>problem entities not yet extracted</x:v>
      </x:c>
      <x:c r="I68" s="62" t="str">
        <x:v>Pending full-text extraction</x:v>
      </x:c>
      <x:c r="J68" s="62" t="str">
        <x:v>Pending full-text extraction</x:v>
      </x:c>
      <x:c r="K68" s="62" t="str">
        <x:v>Pending full-text extraction</x:v>
      </x:c>
      <x:c r="L68" s="62" t="str">
        <x:v>Pending full-text extraction</x:v>
      </x:c>
      <x:c r="M68" s="62" t="str">
        <x:v>routing/transport</x:v>
      </x:c>
      <x:c r="N68" s="62" t="str">
        <x:v>static/offline or not stated</x:v>
      </x:c>
      <x:c r="O68" s="62" t="str"/>
      <x:c r="P68" s="62" t="str"/>
      <x:c r="Q68" s="62" t="str"/>
      <x:c r="R68" s="62" t="str"/>
      <x:c r="S68" s="62" t="str"/>
      <x:c r="T68" s="62" t="str"/>
      <x:c r="U68" s="62" t="str">
        <x:v>mechanism-transfer candidate</x:v>
      </x:c>
      <x:c r="V68" s="62" t="str">
        <x:v>RL hyper-heuristic</x:v>
      </x:c>
      <x:c r="W68" s="62" t="str"/>
      <x:c r="X68" s="62" t="str">
        <x:v>Frozen-query match: S3,S5; source queries: S3</x:v>
      </x:c>
      <x:c r="Y68" s="62" t="str"/>
      <x:c r="Z68" s="62" t="str"/>
      <x:c r="AA68" s="62" t="str"/>
      <x:c r="AB68" s="62" t="str"/>
      <x:c r="AC68" s="62" t="str"/>
      <x:c r="AD68" s="62" t="str"/>
      <x:c r="AE68" s="62" t="str"/>
      <x:c r="AF68" s="62" t="str"/>
      <x:c r="AG68" s="62" t="str"/>
      <x:c r="AH68" s="62" t="str"/>
      <x:c r="AI68" s="62" t="str"/>
      <x:c r="AJ68" s="62" t="str"/>
      <x:c r="AK68" s="62" t="str"/>
      <x:c r="AL68" s="62" t="str"/>
      <x:c r="AM68" s="62" t="str"/>
      <x:c r="AN68" s="62" t="str"/>
      <x:c r="AO68" s="62" t="str"/>
      <x:c r="AP68" s="62" t="str"/>
      <x:c r="AQ68" s="62" t="str"/>
      <x:c r="AR68" s="62" t="str"/>
      <x:c r="AS68" s="62" t="str"/>
      <x:c r="AT68" s="62" t="str">
        <x:v>Hyper-heuristics have a high level of generality and adaptability, allowing them to effectively solve a wide range of complex optimization problems. With reinforcement learning, hyper-heuristics can use experience and knowledge gained to tackle unforeseen problems, allowing hyper-heuristics to adapt and improve over time. Our paper proposes a framework for using policy-based reinforcement learning to improve the performance of hyper-heuristics. The framework trains hyper-heuristic agents to select the best generalized constructive low-level heuristics to solve combinatorial optimization proble</x:v>
      </x:c>
      <x:c r="AU68" s="62" t="str">
        <x:v>No full-text direct evidence extracted in step 4.</x:v>
      </x:c>
      <x:c r="AV68" s="62" t="str">
        <x:v>Preliminary relevance inference: meets all concept groups for S3, S5.</x:v>
      </x:c>
      <x:c r="AW68" s="62" t="str">
        <x:v>Title/abstract screening cannot establish implementation identity, novelty, or performance comparability.</x:v>
      </x:c>
      <x:c r="AX68" s="62" t="str">
        <x:v>Verify original full text, method details, experimental budget, and six comparability dimensions.</x:v>
      </x:c>
      <x:c r="AY68" s="62" t="str">
        <x:v>unresolved</x:v>
      </x:c>
      <x:c r="AZ68" s="62" t="str">
        <x:v>indirect</x:v>
      </x:c>
      <x:c r="BA68" s="62" t="str">
        <x:v>Title/abstract screened; full-text pending</x:v>
      </x:c>
      <x:c r="BB68" s="62">
        <x:f>IF(COUNTA(B68:BC68)=0,"",IF(A68="","MISSING ID",IFERROR(IF(AND(LEFT(A68,1)="L",ISNUMBER(SEARCH("-E",A68))),"OK","CHECK ID"),"CHECK ID")))</x:f>
      </x:c>
    </x:row>
    <x:row r="69" ht="48" customHeight="1">
      <x:c r="A69" s="63" t="str">
        <x:v>L093-E01</x:v>
      </x:c>
      <x:c r="B69" s="63" t="str">
        <x:v>L093</x:v>
      </x:c>
      <x:c r="C69" s="63" t="str">
        <x:v>OpenAlex S5; title+metadata</x:v>
      </x:c>
      <x:c r="D69" s="63" t="str">
        <x:v>Abstract unavailable</x:v>
      </x:c>
      <x:c r="E69" s="63" t="str">
        <x:v>shop scheduling mechanism</x:v>
      </x:c>
      <x:c r="F69" s="63" t="str">
        <x:v>workshop</x:v>
      </x:c>
      <x:c r="G69" s="63" t="str">
        <x:v>neighborhood/operator/heuristic selection</x:v>
      </x:c>
      <x:c r="H69" s="63" t="str">
        <x:v>problem entities not yet extracted</x:v>
      </x:c>
      <x:c r="I69" s="63" t="str">
        <x:v>Pending full-text extraction</x:v>
      </x:c>
      <x:c r="J69" s="63" t="str">
        <x:v>Pending full-text extraction</x:v>
      </x:c>
      <x:c r="K69" s="63" t="str">
        <x:v>Pending full-text extraction</x:v>
      </x:c>
      <x:c r="L69" s="63" t="str">
        <x:v>Pending full-text extraction</x:v>
      </x:c>
      <x:c r="M69" s="63" t="str">
        <x:v>workshop</x:v>
      </x:c>
      <x:c r="N69" s="63" t="str">
        <x:v>static/offline or not stated</x:v>
      </x:c>
      <x:c r="O69" s="63" t="str"/>
      <x:c r="P69" s="63" t="str"/>
      <x:c r="Q69" s="63" t="str"/>
      <x:c r="R69" s="63" t="str"/>
      <x:c r="S69" s="63" t="str"/>
      <x:c r="T69" s="63" t="str"/>
      <x:c r="U69" s="63" t="str">
        <x:v>mechanism-transfer candidate</x:v>
      </x:c>
      <x:c r="V69" s="63" t="str">
        <x:v>RL hyper-heuristic</x:v>
      </x:c>
      <x:c r="W69" s="63" t="str"/>
      <x:c r="X69" s="63" t="str">
        <x:v>Frozen-query match: S3,S5; source queries: S5</x:v>
      </x:c>
      <x:c r="Y69" s="63" t="str"/>
      <x:c r="Z69" s="63" t="str"/>
      <x:c r="AA69" s="63" t="str"/>
      <x:c r="AB69" s="63" t="str"/>
      <x:c r="AC69" s="63" t="str"/>
      <x:c r="AD69" s="63" t="str"/>
      <x:c r="AE69" s="63" t="str"/>
      <x:c r="AF69" s="63" t="str"/>
      <x:c r="AG69" s="63" t="str"/>
      <x:c r="AH69" s="63" t="str"/>
      <x:c r="AI69" s="63" t="str"/>
      <x:c r="AJ69" s="63" t="str"/>
      <x:c r="AK69" s="63" t="str"/>
      <x:c r="AL69" s="63" t="str"/>
      <x:c r="AM69" s="63" t="str"/>
      <x:c r="AN69" s="63" t="str"/>
      <x:c r="AO69" s="63" t="str"/>
      <x:c r="AP69" s="63" t="str"/>
      <x:c r="AQ69" s="63" t="str"/>
      <x:c r="AR69" s="63" t="str"/>
      <x:c r="AS69" s="63" t="str"/>
      <x:c r="AT69" s="63" t="str">
        <x:v>No abstract retrieved; no author conclusion extracted.</x:v>
      </x:c>
      <x:c r="AU69" s="63" t="str">
        <x:v>No full-text direct evidence extracted in step 4.</x:v>
      </x:c>
      <x:c r="AV69" s="63" t="str">
        <x:v>Preliminary relevance inference: meets all concept groups for S3, S5.</x:v>
      </x:c>
      <x:c r="AW69" s="63" t="str">
        <x:v>Title/abstract screening cannot establish implementation identity, novelty, or performance comparability.</x:v>
      </x:c>
      <x:c r="AX69" s="63" t="str">
        <x:v>Verify original full text, method details, experimental budget, and six comparability dimensions.</x:v>
      </x:c>
      <x:c r="AY69" s="63" t="str">
        <x:v>unresolved</x:v>
      </x:c>
      <x:c r="AZ69" s="63" t="str">
        <x:v>indirect</x:v>
      </x:c>
      <x:c r="BA69" s="63" t="str">
        <x:v>Title/abstract screened; full-text pending</x:v>
      </x:c>
      <x:c r="BB69" s="63">
        <x:f>IF(COUNTA(B69:BC69)=0,"",IF(A69="","MISSING ID",IFERROR(IF(AND(LEFT(A69,1)="L",ISNUMBER(SEARCH("-E",A69))),"OK","CHECK ID"),"CHECK ID")))</x:f>
      </x:c>
    </x:row>
    <x:row r="70" ht="48" customHeight="1">
      <x:c r="A70" s="62" t="str">
        <x:v>L094-E01</x:v>
      </x:c>
      <x:c r="B70" s="62" t="str">
        <x:v>L094</x:v>
      </x:c>
      <x:c r="C70" s="62" t="str">
        <x:v>OpenAlex S2; title+abstract</x:v>
      </x:c>
      <x:c r="D70" s="62" t="str">
        <x:v>Database abstract available</x:v>
      </x:c>
      <x:c r="E70" s="62" t="str">
        <x:v>shop scheduling mechanism</x:v>
      </x:c>
      <x:c r="F70" s="62" t="str">
        <x:v>workshop</x:v>
      </x:c>
      <x:c r="G70" s="62" t="str">
        <x:v>critical/bottleneck region or local-search move</x:v>
      </x:c>
      <x:c r="H70" s="62" t="str">
        <x:v>problem entities not yet extracted</x:v>
      </x:c>
      <x:c r="I70" s="62" t="str">
        <x:v>Pending full-text extraction</x:v>
      </x:c>
      <x:c r="J70" s="62" t="str">
        <x:v>Pending full-text extraction</x:v>
      </x:c>
      <x:c r="K70" s="62" t="str">
        <x:v>Pending full-text extraction</x:v>
      </x:c>
      <x:c r="L70" s="62" t="str">
        <x:v>Pending full-text extraction</x:v>
      </x:c>
      <x:c r="M70" s="62" t="str">
        <x:v>workshop</x:v>
      </x:c>
      <x:c r="N70" s="62" t="str">
        <x:v>static/offline or not stated</x:v>
      </x:c>
      <x:c r="O70" s="62" t="str"/>
      <x:c r="P70" s="62" t="str"/>
      <x:c r="Q70" s="62" t="str"/>
      <x:c r="R70" s="62" t="str"/>
      <x:c r="S70" s="62" t="str"/>
      <x:c r="T70" s="62" t="str"/>
      <x:c r="U70" s="62" t="str">
        <x:v>mechanism-transfer candidate</x:v>
      </x:c>
      <x:c r="V70" s="62" t="str">
        <x:v>scheduling/metaheuristic</x:v>
      </x:c>
      <x:c r="W70" s="62" t="str"/>
      <x:c r="X70" s="62" t="str">
        <x:v>Frozen-query match: S2; source queries: S2</x:v>
      </x:c>
      <x:c r="Y70" s="62" t="str"/>
      <x:c r="Z70" s="62" t="str"/>
      <x:c r="AA70" s="62" t="str"/>
      <x:c r="AB70" s="62" t="str"/>
      <x:c r="AC70" s="62" t="str"/>
      <x:c r="AD70" s="62" t="str"/>
      <x:c r="AE70" s="62" t="str"/>
      <x:c r="AF70" s="62" t="str"/>
      <x:c r="AG70" s="62" t="str"/>
      <x:c r="AH70" s="62" t="str"/>
      <x:c r="AI70" s="62" t="str"/>
      <x:c r="AJ70" s="62" t="str"/>
      <x:c r="AK70" s="62" t="str"/>
      <x:c r="AL70" s="62" t="str"/>
      <x:c r="AM70" s="62" t="str"/>
      <x:c r="AN70" s="62" t="str"/>
      <x:c r="AO70" s="62" t="str"/>
      <x:c r="AP70" s="62" t="str"/>
      <x:c r="AQ70" s="62" t="str"/>
      <x:c r="AR70" s="62" t="str"/>
      <x:c r="AS70" s="62" t="str"/>
      <x:c r="AT70" s="62" t="str">
        <x:v>Job shop scheduling problem (JSP) is a widely studied NP-complete combinatorial optimisation problem. Neighbourhood structures play a critical role in solving JSP. At present, there are three state-of-the-art neighbourhood structures, i.e. N5, N6, and N7. Improving the upper bounds of some famous benchmarks is inseparable from the role of these neighbourhood structures. However, these existing neighbourhood structures only consider the movement of critical operations within a critical block. According to our experiments, it is also possible to improve the makespan of a scheduling scheme by mov</x:v>
      </x:c>
      <x:c r="AU70" s="62" t="str">
        <x:v>No full-text direct evidence extracted in step 4.</x:v>
      </x:c>
      <x:c r="AV70" s="62" t="str">
        <x:v>Preliminary relevance inference: meets all concept groups for S2.</x:v>
      </x:c>
      <x:c r="AW70" s="62" t="str">
        <x:v>Title/abstract screening cannot establish implementation identity, novelty, or performance comparability.</x:v>
      </x:c>
      <x:c r="AX70" s="62" t="str">
        <x:v>Verify original full text, method details, experimental budget, and six comparability dimensions.</x:v>
      </x:c>
      <x:c r="AY70" s="62" t="str">
        <x:v>unresolved</x:v>
      </x:c>
      <x:c r="AZ70" s="62" t="str">
        <x:v>indirect</x:v>
      </x:c>
      <x:c r="BA70" s="62" t="str">
        <x:v>Title/abstract screened; full-text pending</x:v>
      </x:c>
      <x:c r="BB70" s="62">
        <x:f>IF(COUNTA(B70:BC70)=0,"",IF(A70="","MISSING ID",IFERROR(IF(AND(LEFT(A70,1)="L",ISNUMBER(SEARCH("-E",A70))),"OK","CHECK ID"),"CHECK ID")))</x:f>
      </x:c>
    </x:row>
    <x:row r="71" ht="48" customHeight="1">
      <x:c r="A71" s="63" t="str">
        <x:v>L095-E01</x:v>
      </x:c>
      <x:c r="B71" s="63" t="str">
        <x:v>L095</x:v>
      </x:c>
      <x:c r="C71" s="63" t="str">
        <x:v>OpenAlex S5; title+metadata</x:v>
      </x:c>
      <x:c r="D71" s="63" t="str">
        <x:v>Abstract unavailable</x:v>
      </x:c>
      <x:c r="E71" s="63" t="str">
        <x:v>transferable search-control mechanism</x:v>
      </x:c>
      <x:c r="F71" s="63" t="str">
        <x:v>cross-domain optimization</x:v>
      </x:c>
      <x:c r="G71" s="63" t="str">
        <x:v>neighborhood/operator/heuristic selection</x:v>
      </x:c>
      <x:c r="H71" s="63" t="str">
        <x:v>problem entities not yet extracted</x:v>
      </x:c>
      <x:c r="I71" s="63" t="str">
        <x:v>Pending full-text extraction</x:v>
      </x:c>
      <x:c r="J71" s="63" t="str">
        <x:v>Pending full-text extraction</x:v>
      </x:c>
      <x:c r="K71" s="63" t="str">
        <x:v>Pending full-text extraction</x:v>
      </x:c>
      <x:c r="L71" s="63" t="str">
        <x:v>Pending full-text extraction</x:v>
      </x:c>
      <x:c r="M71" s="63" t="str">
        <x:v>cross-domain optimization</x:v>
      </x:c>
      <x:c r="N71" s="63" t="str">
        <x:v>static/offline or not stated</x:v>
      </x:c>
      <x:c r="O71" s="63" t="str"/>
      <x:c r="P71" s="63" t="str"/>
      <x:c r="Q71" s="63" t="str"/>
      <x:c r="R71" s="63" t="str"/>
      <x:c r="S71" s="63" t="str"/>
      <x:c r="T71" s="63" t="str"/>
      <x:c r="U71" s="63" t="str">
        <x:v>mechanism-transfer candidate</x:v>
      </x:c>
      <x:c r="V71" s="63" t="str">
        <x:v>adaptive operator selection</x:v>
      </x:c>
      <x:c r="W71" s="63" t="str"/>
      <x:c r="X71" s="63" t="str">
        <x:v>Frozen-query match: S3; source queries: S5</x:v>
      </x:c>
      <x:c r="Y71" s="63" t="str"/>
      <x:c r="Z71" s="63" t="str"/>
      <x:c r="AA71" s="63" t="str"/>
      <x:c r="AB71" s="63" t="str"/>
      <x:c r="AC71" s="63" t="str"/>
      <x:c r="AD71" s="63" t="str"/>
      <x:c r="AE71" s="63" t="str"/>
      <x:c r="AF71" s="63" t="str"/>
      <x:c r="AG71" s="63" t="str"/>
      <x:c r="AH71" s="63" t="str"/>
      <x:c r="AI71" s="63" t="str"/>
      <x:c r="AJ71" s="63" t="str"/>
      <x:c r="AK71" s="63" t="str"/>
      <x:c r="AL71" s="63" t="str"/>
      <x:c r="AM71" s="63" t="str"/>
      <x:c r="AN71" s="63" t="str"/>
      <x:c r="AO71" s="63" t="str"/>
      <x:c r="AP71" s="63" t="str"/>
      <x:c r="AQ71" s="63" t="str"/>
      <x:c r="AR71" s="63" t="str"/>
      <x:c r="AS71" s="63" t="str"/>
      <x:c r="AT71" s="63" t="str">
        <x:v>No abstract retrieved; no author conclusion extracted.</x:v>
      </x:c>
      <x:c r="AU71" s="63" t="str">
        <x:v>No full-text direct evidence extracted in step 4.</x:v>
      </x:c>
      <x:c r="AV71" s="63" t="str">
        <x:v>Preliminary relevance inference: meets all concept groups for S3.</x:v>
      </x:c>
      <x:c r="AW71" s="63" t="str">
        <x:v>Title/abstract screening cannot establish implementation identity, novelty, or performance comparability.</x:v>
      </x:c>
      <x:c r="AX71" s="63" t="str">
        <x:v>Verify original full text, method details, experimental budget, and six comparability dimensions.</x:v>
      </x:c>
      <x:c r="AY71" s="63" t="str">
        <x:v>unresolved</x:v>
      </x:c>
      <x:c r="AZ71" s="63" t="str">
        <x:v>indirect</x:v>
      </x:c>
      <x:c r="BA71" s="63" t="str">
        <x:v>Title/abstract screened; full-text pending</x:v>
      </x:c>
      <x:c r="BB71" s="63">
        <x:f>IF(COUNTA(B71:BC71)=0,"",IF(A71="","MISSING ID",IFERROR(IF(AND(LEFT(A71,1)="L",ISNUMBER(SEARCH("-E",A71))),"OK","CHECK ID"),"CHECK ID")))</x:f>
      </x:c>
    </x:row>
    <x:row r="72" ht="48" customHeight="1">
      <x:c r="A72" s="62" t="str">
        <x:v>L096-E01</x:v>
      </x:c>
      <x:c r="B72" s="62" t="str">
        <x:v>L096</x:v>
      </x:c>
      <x:c r="C72" s="62" t="str">
        <x:v>arXiv S5; title+abstract</x:v>
      </x:c>
      <x:c r="D72" s="62" t="str">
        <x:v>Database abstract available</x:v>
      </x:c>
      <x:c r="E72" s="62" t="str">
        <x:v>transferable search-control mechanism</x:v>
      </x:c>
      <x:c r="F72" s="62" t="str">
        <x:v>cross-domain optimization</x:v>
      </x:c>
      <x:c r="G72" s="62" t="str">
        <x:v>neighborhood/operator/heuristic selection</x:v>
      </x:c>
      <x:c r="H72" s="62" t="str">
        <x:v>problem entities not yet extracted</x:v>
      </x:c>
      <x:c r="I72" s="62" t="str">
        <x:v>Pending full-text extraction</x:v>
      </x:c>
      <x:c r="J72" s="62" t="str">
        <x:v>Pending full-text extraction</x:v>
      </x:c>
      <x:c r="K72" s="62" t="str">
        <x:v>Pending full-text extraction</x:v>
      </x:c>
      <x:c r="L72" s="62" t="str">
        <x:v>Pending full-text extraction</x:v>
      </x:c>
      <x:c r="M72" s="62" t="str">
        <x:v>cross-domain optimization</x:v>
      </x:c>
      <x:c r="N72" s="62" t="str">
        <x:v>static/offline or not stated</x:v>
      </x:c>
      <x:c r="O72" s="62" t="str"/>
      <x:c r="P72" s="62" t="str"/>
      <x:c r="Q72" s="62" t="str"/>
      <x:c r="R72" s="62" t="str"/>
      <x:c r="S72" s="62" t="str"/>
      <x:c r="T72" s="62" t="str"/>
      <x:c r="U72" s="62" t="str">
        <x:v>mechanism-transfer candidate</x:v>
      </x:c>
      <x:c r="V72" s="62" t="str">
        <x:v>RL hyper-heuristic</x:v>
      </x:c>
      <x:c r="W72" s="62" t="str"/>
      <x:c r="X72" s="62" t="str">
        <x:v>Frozen-query match: S3,S5; source queries: S5</x:v>
      </x:c>
      <x:c r="Y72" s="62" t="str"/>
      <x:c r="Z72" s="62" t="str"/>
      <x:c r="AA72" s="62" t="str"/>
      <x:c r="AB72" s="62" t="str"/>
      <x:c r="AC72" s="62" t="str"/>
      <x:c r="AD72" s="62" t="str"/>
      <x:c r="AE72" s="62" t="str"/>
      <x:c r="AF72" s="62" t="str"/>
      <x:c r="AG72" s="62" t="str"/>
      <x:c r="AH72" s="62" t="str"/>
      <x:c r="AI72" s="62" t="str"/>
      <x:c r="AJ72" s="62" t="str"/>
      <x:c r="AK72" s="62" t="str"/>
      <x:c r="AL72" s="62" t="str"/>
      <x:c r="AM72" s="62" t="str"/>
      <x:c r="AN72" s="62" t="str"/>
      <x:c r="AO72" s="62" t="str"/>
      <x:c r="AP72" s="62" t="str"/>
      <x:c r="AQ72" s="62" t="str"/>
      <x:c r="AR72" s="62" t="str"/>
      <x:c r="AS72" s="62" t="str"/>
      <x:c r="AT72" s="62" t="str">
        <x:v>The simultaneous stochastic optimization of mining complexes (SSOMC) is a large-scale stochastic combinatorial optimization problem that simultaneously manages the extraction of materials from multiple mines and their processing using interconnected facilities to generate a set of final products, while taking into account material supply (geological) uncertainty to manage the associated risk. Although simulated annealing has been shown to outperform comparing methods for solving the SSOMC, early performance might dominate recent performance in that a combination of the heuristics' performance </x:v>
      </x:c>
      <x:c r="AU72" s="62" t="str">
        <x:v>No full-text direct evidence extracted in step 4.</x:v>
      </x:c>
      <x:c r="AV72" s="62" t="str">
        <x:v>Preliminary relevance inference: meets all concept groups for S3, S5.</x:v>
      </x:c>
      <x:c r="AW72" s="62" t="str">
        <x:v>Title/abstract screening cannot establish implementation identity, novelty, or performance comparability.</x:v>
      </x:c>
      <x:c r="AX72" s="62" t="str">
        <x:v>Verify original full text, method details, experimental budget, and six comparability dimensions.</x:v>
      </x:c>
      <x:c r="AY72" s="62" t="str">
        <x:v>unresolved</x:v>
      </x:c>
      <x:c r="AZ72" s="62" t="str">
        <x:v>indirect</x:v>
      </x:c>
      <x:c r="BA72" s="62" t="str">
        <x:v>Title/abstract screened; full-text pending</x:v>
      </x:c>
      <x:c r="BB72" s="62">
        <x:f>IF(COUNTA(B72:BC72)=0,"",IF(A72="","MISSING ID",IFERROR(IF(AND(LEFT(A72,1)="L",ISNUMBER(SEARCH("-E",A72))),"OK","CHECK ID"),"CHECK ID")))</x:f>
      </x:c>
    </x:row>
    <x:row r="73" ht="48" customHeight="1">
      <x:c r="A73" s="63" t="str">
        <x:v>L097-E01</x:v>
      </x:c>
      <x:c r="B73" s="63" t="str">
        <x:v>L097</x:v>
      </x:c>
      <x:c r="C73" s="63" t="str">
        <x:v>OpenAlex S4; title+abstract</x:v>
      </x:c>
      <x:c r="D73" s="63" t="str">
        <x:v>Database abstract available</x:v>
      </x:c>
      <x:c r="E73" s="63" t="str">
        <x:v>shop scheduling mechanism</x:v>
      </x:c>
      <x:c r="F73" s="63" t="str">
        <x:v>workshop</x:v>
      </x:c>
      <x:c r="G73" s="63" t="str">
        <x:v>search intensity, neighborhood size, or computational budget</x:v>
      </x:c>
      <x:c r="H73" s="63" t="str">
        <x:v>problem entities not yet extracted</x:v>
      </x:c>
      <x:c r="I73" s="63" t="str">
        <x:v>Pending full-text extraction</x:v>
      </x:c>
      <x:c r="J73" s="63" t="str">
        <x:v>Pending full-text extraction</x:v>
      </x:c>
      <x:c r="K73" s="63" t="str">
        <x:v>Pending full-text extraction</x:v>
      </x:c>
      <x:c r="L73" s="63" t="str">
        <x:v>Pending full-text extraction</x:v>
      </x:c>
      <x:c r="M73" s="63" t="str">
        <x:v>workshop</x:v>
      </x:c>
      <x:c r="N73" s="63" t="str">
        <x:v>dynamic/online</x:v>
      </x:c>
      <x:c r="O73" s="63" t="str"/>
      <x:c r="P73" s="63" t="str"/>
      <x:c r="Q73" s="63" t="str"/>
      <x:c r="R73" s="63" t="str"/>
      <x:c r="S73" s="63" t="str"/>
      <x:c r="T73" s="63" t="str"/>
      <x:c r="U73" s="63" t="str">
        <x:v>mechanism-transfer candidate</x:v>
      </x:c>
      <x:c r="V73" s="63" t="str">
        <x:v>adaptive search control</x:v>
      </x:c>
      <x:c r="W73" s="63" t="str"/>
      <x:c r="X73" s="63" t="str">
        <x:v>Frozen-query match: S4; source queries: S4</x:v>
      </x:c>
      <x:c r="Y73" s="63" t="str"/>
      <x:c r="Z73" s="63" t="str"/>
      <x:c r="AA73" s="63" t="str"/>
      <x:c r="AB73" s="63" t="str"/>
      <x:c r="AC73" s="63" t="str"/>
      <x:c r="AD73" s="63" t="str"/>
      <x:c r="AE73" s="63" t="str"/>
      <x:c r="AF73" s="63" t="str"/>
      <x:c r="AG73" s="63" t="str"/>
      <x:c r="AH73" s="63" t="str"/>
      <x:c r="AI73" s="63" t="str"/>
      <x:c r="AJ73" s="63" t="str"/>
      <x:c r="AK73" s="63" t="str"/>
      <x:c r="AL73" s="63" t="str"/>
      <x:c r="AM73" s="63" t="str"/>
      <x:c r="AN73" s="63" t="str"/>
      <x:c r="AO73" s="63" t="str"/>
      <x:c r="AP73" s="63" t="str"/>
      <x:c r="AQ73" s="63" t="str"/>
      <x:c r="AR73" s="63" t="str"/>
      <x:c r="AS73" s="63" t="str"/>
      <x:c r="AT73" s="63" t="str">
        <x:v>This work considers a stochastic flexible job shop scheduling with limited extra resources and machine-dependent setup time in a semiconductor manufacturing environment, which is an NP-hard problem. In order to obtain its reliable and high-performance schedule in a reasonable time, a learning-based grey wolf optimizer is proposed. In it, an optimal computing budget allocation-based approach, which is designed for two scenarios from real manufacturing environments, is proposed to intelligently allocate computing budget and improve search efficiency. It extends the application area of optimal co</x:v>
      </x:c>
      <x:c r="AU73" s="63" t="str">
        <x:v>No full-text direct evidence extracted in step 4.</x:v>
      </x:c>
      <x:c r="AV73" s="63" t="str">
        <x:v>Preliminary relevance inference: meets all concept groups for S4.</x:v>
      </x:c>
      <x:c r="AW73" s="63" t="str">
        <x:v>Title/abstract screening cannot establish implementation identity, novelty, or performance comparability.</x:v>
      </x:c>
      <x:c r="AX73" s="63" t="str">
        <x:v>Verify original full text, method details, experimental budget, and six comparability dimensions.</x:v>
      </x:c>
      <x:c r="AY73" s="63" t="str">
        <x:v>unresolved</x:v>
      </x:c>
      <x:c r="AZ73" s="63" t="str">
        <x:v>indirect</x:v>
      </x:c>
      <x:c r="BA73" s="63" t="str">
        <x:v>Title/abstract screened; full-text pending</x:v>
      </x:c>
      <x:c r="BB73" s="63">
        <x:f>IF(COUNTA(B73:BC73)=0,"",IF(A73="","MISSING ID",IFERROR(IF(AND(LEFT(A73,1)="L",ISNUMBER(SEARCH("-E",A73))),"OK","CHECK ID"),"CHECK ID")))</x:f>
      </x:c>
    </x:row>
    <x:row r="74" ht="48" customHeight="1">
      <x:c r="A74" s="62" t="str">
        <x:v>L098-E01</x:v>
      </x:c>
      <x:c r="B74" s="62" t="str">
        <x:v>L098</x:v>
      </x:c>
      <x:c r="C74" s="62" t="str">
        <x:v>arXiv S2; title+abstract</x:v>
      </x:c>
      <x:c r="D74" s="62" t="str">
        <x:v>Database abstract available</x:v>
      </x:c>
      <x:c r="E74" s="62" t="str">
        <x:v>shop scheduling mechanism</x:v>
      </x:c>
      <x:c r="F74" s="62" t="str">
        <x:v>workshop</x:v>
      </x:c>
      <x:c r="G74" s="62" t="str">
        <x:v>critical/bottleneck region or local-search move</x:v>
      </x:c>
      <x:c r="H74" s="62" t="str">
        <x:v>problem entities not yet extracted</x:v>
      </x:c>
      <x:c r="I74" s="62" t="str">
        <x:v>Pending full-text extraction</x:v>
      </x:c>
      <x:c r="J74" s="62" t="str">
        <x:v>Pending full-text extraction</x:v>
      </x:c>
      <x:c r="K74" s="62" t="str">
        <x:v>Pending full-text extraction</x:v>
      </x:c>
      <x:c r="L74" s="62" t="str">
        <x:v>Pending full-text extraction</x:v>
      </x:c>
      <x:c r="M74" s="62" t="str">
        <x:v>workshop</x:v>
      </x:c>
      <x:c r="N74" s="62" t="str">
        <x:v>static/offline or not stated</x:v>
      </x:c>
      <x:c r="O74" s="62" t="str"/>
      <x:c r="P74" s="62" t="str"/>
      <x:c r="Q74" s="62" t="str"/>
      <x:c r="R74" s="62" t="str"/>
      <x:c r="S74" s="62" t="str"/>
      <x:c r="T74" s="62" t="str"/>
      <x:c r="U74" s="62" t="str">
        <x:v>mechanism-transfer candidate</x:v>
      </x:c>
      <x:c r="V74" s="62" t="str">
        <x:v>scheduling/metaheuristic</x:v>
      </x:c>
      <x:c r="W74" s="62" t="str"/>
      <x:c r="X74" s="62" t="str">
        <x:v>Frozen-query match: S2; source queries: S2</x:v>
      </x:c>
      <x:c r="Y74" s="62" t="str"/>
      <x:c r="Z74" s="62" t="str"/>
      <x:c r="AA74" s="62" t="str"/>
      <x:c r="AB74" s="62" t="str"/>
      <x:c r="AC74" s="62" t="str"/>
      <x:c r="AD74" s="62" t="str"/>
      <x:c r="AE74" s="62" t="str"/>
      <x:c r="AF74" s="62" t="str"/>
      <x:c r="AG74" s="62" t="str"/>
      <x:c r="AH74" s="62" t="str"/>
      <x:c r="AI74" s="62" t="str"/>
      <x:c r="AJ74" s="62" t="str"/>
      <x:c r="AK74" s="62" t="str"/>
      <x:c r="AL74" s="62" t="str"/>
      <x:c r="AM74" s="62" t="str"/>
      <x:c r="AN74" s="62" t="str"/>
      <x:c r="AO74" s="62" t="str"/>
      <x:c r="AP74" s="62" t="str"/>
      <x:c r="AQ74" s="62" t="str"/>
      <x:c r="AR74" s="62" t="str"/>
      <x:c r="AS74" s="62" t="str"/>
      <x:c r="AT74" s="62" t="str">
        <x:v>Job shop scheduling problem (JSP) is a widely studied NP-complete combinatorial optimization problem. Neighborhood structures play a critical role in solving JSP. At present, there are three state-of-the-art neighborhood structures, i.e., N5, N6, and N7. Improving the upper bounds of some famous benchmarks is inseparable from the role of these neighborhood structures. However, these existing neighborhood structures only consider the movement of critical operations within a critical block. According to our experiments, it is also possible to improve the makespan of a scheduling scheme by moving</x:v>
      </x:c>
      <x:c r="AU74" s="62" t="str">
        <x:v>No full-text direct evidence extracted in step 4.</x:v>
      </x:c>
      <x:c r="AV74" s="62" t="str">
        <x:v>Preliminary relevance inference: meets all concept groups for S2.</x:v>
      </x:c>
      <x:c r="AW74" s="62" t="str">
        <x:v>Title/abstract screening cannot establish implementation identity, novelty, or performance comparability.</x:v>
      </x:c>
      <x:c r="AX74" s="62" t="str">
        <x:v>Verify original full text, method details, experimental budget, and six comparability dimensions.</x:v>
      </x:c>
      <x:c r="AY74" s="62" t="str">
        <x:v>unresolved</x:v>
      </x:c>
      <x:c r="AZ74" s="62" t="str">
        <x:v>indirect</x:v>
      </x:c>
      <x:c r="BA74" s="62" t="str">
        <x:v>Title/abstract screened; full-text pending</x:v>
      </x:c>
      <x:c r="BB74" s="62">
        <x:f>IF(COUNTA(B74:BC74)=0,"",IF(A74="","MISSING ID",IFERROR(IF(AND(LEFT(A74,1)="L",ISNUMBER(SEARCH("-E",A74))),"OK","CHECK ID"),"CHECK ID")))</x:f>
      </x:c>
    </x:row>
    <x:row r="75" ht="48" customHeight="1">
      <x:c r="A75" s="63" t="str">
        <x:v>L099-E01</x:v>
      </x:c>
      <x:c r="B75" s="63" t="str">
        <x:v>L099</x:v>
      </x:c>
      <x:c r="C75" s="63" t="str">
        <x:v>OpenAlex S3,S5; title+abstract</x:v>
      </x:c>
      <x:c r="D75" s="63" t="str">
        <x:v>Database abstract available</x:v>
      </x:c>
      <x:c r="E75" s="63" t="str">
        <x:v>transferable search-control mechanism</x:v>
      </x:c>
      <x:c r="F75" s="63" t="str">
        <x:v>routing/transport</x:v>
      </x:c>
      <x:c r="G75" s="63" t="str">
        <x:v>neighborhood/operator/heuristic selection</x:v>
      </x:c>
      <x:c r="H75" s="63" t="str">
        <x:v>problem entities not yet extracted</x:v>
      </x:c>
      <x:c r="I75" s="63" t="str">
        <x:v>Pending full-text extraction</x:v>
      </x:c>
      <x:c r="J75" s="63" t="str">
        <x:v>Pending full-text extraction</x:v>
      </x:c>
      <x:c r="K75" s="63" t="str">
        <x:v>Pending full-text extraction</x:v>
      </x:c>
      <x:c r="L75" s="63" t="str">
        <x:v>Pending full-text extraction</x:v>
      </x:c>
      <x:c r="M75" s="63" t="str">
        <x:v>routing/transport</x:v>
      </x:c>
      <x:c r="N75" s="63" t="str">
        <x:v>dynamic/online</x:v>
      </x:c>
      <x:c r="O75" s="63" t="str"/>
      <x:c r="P75" s="63" t="str"/>
      <x:c r="Q75" s="63" t="str"/>
      <x:c r="R75" s="63" t="str"/>
      <x:c r="S75" s="63" t="str"/>
      <x:c r="T75" s="63" t="str"/>
      <x:c r="U75" s="63" t="str">
        <x:v>mechanism-transfer candidate</x:v>
      </x:c>
      <x:c r="V75" s="63" t="str">
        <x:v>adaptive operator selection</x:v>
      </x:c>
      <x:c r="W75" s="63" t="str"/>
      <x:c r="X75" s="63" t="str">
        <x:v>Frozen-query match: S3; source queries: S3,S5</x:v>
      </x:c>
      <x:c r="Y75" s="63" t="str"/>
      <x:c r="Z75" s="63" t="str"/>
      <x:c r="AA75" s="63" t="str"/>
      <x:c r="AB75" s="63" t="str"/>
      <x:c r="AC75" s="63" t="str"/>
      <x:c r="AD75" s="63" t="str"/>
      <x:c r="AE75" s="63" t="str"/>
      <x:c r="AF75" s="63" t="str"/>
      <x:c r="AG75" s="63" t="str"/>
      <x:c r="AH75" s="63" t="str"/>
      <x:c r="AI75" s="63" t="str"/>
      <x:c r="AJ75" s="63" t="str"/>
      <x:c r="AK75" s="63" t="str"/>
      <x:c r="AL75" s="63" t="str"/>
      <x:c r="AM75" s="63" t="str"/>
      <x:c r="AN75" s="63" t="str"/>
      <x:c r="AO75" s="63" t="str"/>
      <x:c r="AP75" s="63" t="str"/>
      <x:c r="AQ75" s="63" t="str"/>
      <x:c r="AR75" s="63" t="str"/>
      <x:c r="AS75" s="63" t="str"/>
      <x:c r="AT75" s="63" t="str">
        <x:v>A hyper-heuristic algorithm is a general solution framework that adaptively selects the optimizer to address complex problems. A classical hyper-heuristic framework consists of two levels, including the high-level heuristic and a set of low-level heuristics. The low-level heuristics to be used in the optimization process are chosen by the high-level tactics in the hyper-heuristic. In this study, a Cooperative Multi-Stage Hyper-Heuristic (CMS-HH) algorithm is proposed to address certain combinatorial optimization problems. In the CMS-HH, a genetic algorithm is introduced to perturb the initial </x:v>
      </x:c>
      <x:c r="AU75" s="63" t="str">
        <x:v>No full-text direct evidence extracted in step 4.</x:v>
      </x:c>
      <x:c r="AV75" s="63" t="str">
        <x:v>Preliminary relevance inference: meets all concept groups for S3.</x:v>
      </x:c>
      <x:c r="AW75" s="63" t="str">
        <x:v>Title/abstract screening cannot establish implementation identity, novelty, or performance comparability.</x:v>
      </x:c>
      <x:c r="AX75" s="63" t="str">
        <x:v>Verify original full text, method details, experimental budget, and six comparability dimensions.</x:v>
      </x:c>
      <x:c r="AY75" s="63" t="str">
        <x:v>unresolved</x:v>
      </x:c>
      <x:c r="AZ75" s="63" t="str">
        <x:v>indirect</x:v>
      </x:c>
      <x:c r="BA75" s="63" t="str">
        <x:v>Title/abstract screened; full-text pending</x:v>
      </x:c>
      <x:c r="BB75" s="63">
        <x:f>IF(COUNTA(B75:BC75)=0,"",IF(A75="","MISSING ID",IFERROR(IF(AND(LEFT(A75,1)="L",ISNUMBER(SEARCH("-E",A75))),"OK","CHECK ID"),"CHECK ID")))</x:f>
      </x:c>
    </x:row>
    <x:row r="76" ht="48" customHeight="1">
      <x:c r="A76" s="62" t="str">
        <x:v>L100-E01</x:v>
      </x:c>
      <x:c r="B76" s="62" t="str">
        <x:v>L100</x:v>
      </x:c>
      <x:c r="C76" s="62" t="str">
        <x:v>OpenAlex S4; title+abstract</x:v>
      </x:c>
      <x:c r="D76" s="62" t="str">
        <x:v>Database abstract available</x:v>
      </x:c>
      <x:c r="E76" s="62" t="str">
        <x:v>transferable search-control mechanism</x:v>
      </x:c>
      <x:c r="F76" s="62" t="str">
        <x:v>cross-domain optimization</x:v>
      </x:c>
      <x:c r="G76" s="62" t="str">
        <x:v>search intensity, neighborhood size, or computational budget</x:v>
      </x:c>
      <x:c r="H76" s="62" t="str">
        <x:v>problem entities not yet extracted</x:v>
      </x:c>
      <x:c r="I76" s="62" t="str">
        <x:v>Pending full-text extraction</x:v>
      </x:c>
      <x:c r="J76" s="62" t="str">
        <x:v>Pending full-text extraction</x:v>
      </x:c>
      <x:c r="K76" s="62" t="str">
        <x:v>Pending full-text extraction</x:v>
      </x:c>
      <x:c r="L76" s="62" t="str">
        <x:v>Pending full-text extraction</x:v>
      </x:c>
      <x:c r="M76" s="62" t="str">
        <x:v>cross-domain optimization</x:v>
      </x:c>
      <x:c r="N76" s="62" t="str">
        <x:v>static/offline or not stated</x:v>
      </x:c>
      <x:c r="O76" s="62" t="str"/>
      <x:c r="P76" s="62" t="str"/>
      <x:c r="Q76" s="62" t="str"/>
      <x:c r="R76" s="62" t="str"/>
      <x:c r="S76" s="62" t="str"/>
      <x:c r="T76" s="62" t="str"/>
      <x:c r="U76" s="62" t="str">
        <x:v>mechanism-transfer candidate</x:v>
      </x:c>
      <x:c r="V76" s="62" t="str">
        <x:v>adaptive search control</x:v>
      </x:c>
      <x:c r="W76" s="62" t="str"/>
      <x:c r="X76" s="62" t="str">
        <x:v>Frozen-query match: S4; source queries: S4</x:v>
      </x:c>
      <x:c r="Y76" s="62" t="str"/>
      <x:c r="Z76" s="62" t="str"/>
      <x:c r="AA76" s="62" t="str"/>
      <x:c r="AB76" s="62" t="str"/>
      <x:c r="AC76" s="62" t="str"/>
      <x:c r="AD76" s="62" t="str"/>
      <x:c r="AE76" s="62" t="str"/>
      <x:c r="AF76" s="62" t="str"/>
      <x:c r="AG76" s="62" t="str"/>
      <x:c r="AH76" s="62" t="str"/>
      <x:c r="AI76" s="62" t="str"/>
      <x:c r="AJ76" s="62" t="str"/>
      <x:c r="AK76" s="62" t="str"/>
      <x:c r="AL76" s="62" t="str"/>
      <x:c r="AM76" s="62" t="str"/>
      <x:c r="AN76" s="62" t="str"/>
      <x:c r="AO76" s="62" t="str"/>
      <x:c r="AP76" s="62" t="str"/>
      <x:c r="AQ76" s="62" t="str"/>
      <x:c r="AR76" s="62" t="str"/>
      <x:c r="AS76" s="62" t="str"/>
      <x:c r="AT76" s="62" t="str">
        <x:v>Abstract Large Neighborhood Search (LNS) heuristics are among the most powerful but also most expensive heuristics for mixed integer programs (MIP). Ideally, a solver adaptively concentrates its limited computational budget by learning which LNS heuristics work best for the MIP problem at hand. To this end, this work introduces Adaptive Large Neighborhood Search (ALNS) for MIP, a primal heuristic that acts as a framework for eight popular LNS heuristics such as Local Branching and Relaxation Induced Neighborhood Search (RINS). We distinguish the available LNS heuristics by their individual sea</x:v>
      </x:c>
      <x:c r="AU76" s="62" t="str">
        <x:v>No full-text direct evidence extracted in step 4.</x:v>
      </x:c>
      <x:c r="AV76" s="62" t="str">
        <x:v>Preliminary relevance inference: meets all concept groups for S4.</x:v>
      </x:c>
      <x:c r="AW76" s="62" t="str">
        <x:v>Title/abstract screening cannot establish implementation identity, novelty, or performance comparability.</x:v>
      </x:c>
      <x:c r="AX76" s="62" t="str">
        <x:v>Verify original full text, method details, experimental budget, and six comparability dimensions.</x:v>
      </x:c>
      <x:c r="AY76" s="62" t="str">
        <x:v>unresolved</x:v>
      </x:c>
      <x:c r="AZ76" s="62" t="str">
        <x:v>indirect</x:v>
      </x:c>
      <x:c r="BA76" s="62" t="str">
        <x:v>Title/abstract screened; full-text pending</x:v>
      </x:c>
      <x:c r="BB76" s="62">
        <x:f>IF(COUNTA(B76:BC76)=0,"",IF(A76="","MISSING ID",IFERROR(IF(AND(LEFT(A76,1)="L",ISNUMBER(SEARCH("-E",A76))),"OK","CHECK ID"),"CHECK ID")))</x:f>
      </x:c>
    </x:row>
    <x:row r="77" ht="48" customHeight="1">
      <x:c r="A77" s="63" t="str">
        <x:v>L101-E01</x:v>
      </x:c>
      <x:c r="B77" s="63" t="str">
        <x:v>L101</x:v>
      </x:c>
      <x:c r="C77" s="63" t="str">
        <x:v>OpenAlex+OpenAlex-S6-trace S5,S6; title+metadata</x:v>
      </x:c>
      <x:c r="D77" s="63" t="str">
        <x:v>Abstract unavailable</x:v>
      </x:c>
      <x:c r="E77" s="63" t="str">
        <x:v>transferable search-control mechanism</x:v>
      </x:c>
      <x:c r="F77" s="63" t="str">
        <x:v>cross-domain optimization</x:v>
      </x:c>
      <x:c r="G77" s="63" t="str">
        <x:v>neighborhood/operator/heuristic selection</x:v>
      </x:c>
      <x:c r="H77" s="63" t="str">
        <x:v>problem entities not yet extracted</x:v>
      </x:c>
      <x:c r="I77" s="63" t="str">
        <x:v>Pending full-text extraction</x:v>
      </x:c>
      <x:c r="J77" s="63" t="str">
        <x:v>Pending full-text extraction</x:v>
      </x:c>
      <x:c r="K77" s="63" t="str">
        <x:v>Pending full-text extraction</x:v>
      </x:c>
      <x:c r="L77" s="63" t="str">
        <x:v>Pending full-text extraction</x:v>
      </x:c>
      <x:c r="M77" s="63" t="str">
        <x:v>cross-domain optimization</x:v>
      </x:c>
      <x:c r="N77" s="63" t="str">
        <x:v>static/offline or not stated</x:v>
      </x:c>
      <x:c r="O77" s="63" t="str"/>
      <x:c r="P77" s="63" t="str"/>
      <x:c r="Q77" s="63" t="str"/>
      <x:c r="R77" s="63" t="str"/>
      <x:c r="S77" s="63" t="str"/>
      <x:c r="T77" s="63" t="str"/>
      <x:c r="U77" s="63" t="str">
        <x:v>mechanism-transfer candidate</x:v>
      </x:c>
      <x:c r="V77" s="63" t="str">
        <x:v>RL hyper-heuristic</x:v>
      </x:c>
      <x:c r="W77" s="63" t="str"/>
      <x:c r="X77" s="63" t="str">
        <x:v>Frozen-query match: S3,S5; source queries: S5,S6</x:v>
      </x:c>
      <x:c r="Y77" s="63" t="str"/>
      <x:c r="Z77" s="63" t="str"/>
      <x:c r="AA77" s="63" t="str"/>
      <x:c r="AB77" s="63" t="str"/>
      <x:c r="AC77" s="63" t="str"/>
      <x:c r="AD77" s="63" t="str"/>
      <x:c r="AE77" s="63" t="str"/>
      <x:c r="AF77" s="63" t="str"/>
      <x:c r="AG77" s="63" t="str"/>
      <x:c r="AH77" s="63" t="str"/>
      <x:c r="AI77" s="63" t="str"/>
      <x:c r="AJ77" s="63" t="str"/>
      <x:c r="AK77" s="63" t="str"/>
      <x:c r="AL77" s="63" t="str"/>
      <x:c r="AM77" s="63" t="str"/>
      <x:c r="AN77" s="63" t="str"/>
      <x:c r="AO77" s="63" t="str"/>
      <x:c r="AP77" s="63" t="str"/>
      <x:c r="AQ77" s="63" t="str"/>
      <x:c r="AR77" s="63" t="str"/>
      <x:c r="AS77" s="63" t="str"/>
      <x:c r="AT77" s="63" t="str">
        <x:v>No abstract retrieved; no author conclusion extracted.</x:v>
      </x:c>
      <x:c r="AU77" s="63" t="str">
        <x:v>No full-text direct evidence extracted in step 4.</x:v>
      </x:c>
      <x:c r="AV77" s="63" t="str">
        <x:v>Preliminary relevance inference: meets all concept groups for S3, S5.</x:v>
      </x:c>
      <x:c r="AW77" s="63" t="str">
        <x:v>Title/abstract screening cannot establish implementation identity, novelty, or performance comparability.</x:v>
      </x:c>
      <x:c r="AX77" s="63" t="str">
        <x:v>Verify original full text, method details, experimental budget, and six comparability dimensions.</x:v>
      </x:c>
      <x:c r="AY77" s="63" t="str">
        <x:v>unresolved</x:v>
      </x:c>
      <x:c r="AZ77" s="63" t="str">
        <x:v>indirect</x:v>
      </x:c>
      <x:c r="BA77" s="63" t="str">
        <x:v>Title/abstract screened; full-text pending</x:v>
      </x:c>
      <x:c r="BB77" s="63">
        <x:f>IF(COUNTA(B77:BC77)=0,"",IF(A77="","MISSING ID",IFERROR(IF(AND(LEFT(A77,1)="L",ISNUMBER(SEARCH("-E",A77))),"OK","CHECK ID"),"CHECK ID")))</x:f>
      </x:c>
    </x:row>
    <x:row r="78" ht="48" customHeight="1">
      <x:c r="A78" s="62" t="str">
        <x:v>L102-E01</x:v>
      </x:c>
      <x:c r="B78" s="62" t="str">
        <x:v>L102</x:v>
      </x:c>
      <x:c r="C78" s="62" t="str">
        <x:v>arXiv S4; title+abstract</x:v>
      </x:c>
      <x:c r="D78" s="62" t="str">
        <x:v>Database abstract available</x:v>
      </x:c>
      <x:c r="E78" s="62" t="str">
        <x:v>transferable search-control mechanism</x:v>
      </x:c>
      <x:c r="F78" s="62" t="str">
        <x:v>cross-domain optimization</x:v>
      </x:c>
      <x:c r="G78" s="62" t="str">
        <x:v>search intensity, neighborhood size, or computational budget</x:v>
      </x:c>
      <x:c r="H78" s="62" t="str">
        <x:v>problem entities not yet extracted</x:v>
      </x:c>
      <x:c r="I78" s="62" t="str">
        <x:v>Pending full-text extraction</x:v>
      </x:c>
      <x:c r="J78" s="62" t="str">
        <x:v>Pending full-text extraction</x:v>
      </x:c>
      <x:c r="K78" s="62" t="str">
        <x:v>Pending full-text extraction</x:v>
      </x:c>
      <x:c r="L78" s="62" t="str">
        <x:v>Pending full-text extraction</x:v>
      </x:c>
      <x:c r="M78" s="62" t="str">
        <x:v>cross-domain optimization</x:v>
      </x:c>
      <x:c r="N78" s="62" t="str">
        <x:v>static/offline or not stated</x:v>
      </x:c>
      <x:c r="O78" s="62" t="str"/>
      <x:c r="P78" s="62" t="str"/>
      <x:c r="Q78" s="62" t="str"/>
      <x:c r="R78" s="62" t="str"/>
      <x:c r="S78" s="62" t="str"/>
      <x:c r="T78" s="62" t="str"/>
      <x:c r="U78" s="62" t="str">
        <x:v>mechanism-transfer candidate</x:v>
      </x:c>
      <x:c r="V78" s="62" t="str">
        <x:v>adaptive search control</x:v>
      </x:c>
      <x:c r="W78" s="62" t="str"/>
      <x:c r="X78" s="62" t="str">
        <x:v>Frozen-query match: S4; source queries: S4</x:v>
      </x:c>
      <x:c r="Y78" s="62" t="str"/>
      <x:c r="Z78" s="62" t="str"/>
      <x:c r="AA78" s="62" t="str"/>
      <x:c r="AB78" s="62" t="str"/>
      <x:c r="AC78" s="62" t="str"/>
      <x:c r="AD78" s="62" t="str"/>
      <x:c r="AE78" s="62" t="str"/>
      <x:c r="AF78" s="62" t="str"/>
      <x:c r="AG78" s="62" t="str"/>
      <x:c r="AH78" s="62" t="str"/>
      <x:c r="AI78" s="62" t="str"/>
      <x:c r="AJ78" s="62" t="str"/>
      <x:c r="AK78" s="62" t="str"/>
      <x:c r="AL78" s="62" t="str"/>
      <x:c r="AM78" s="62" t="str"/>
      <x:c r="AN78" s="62" t="str"/>
      <x:c r="AO78" s="62" t="str"/>
      <x:c r="AP78" s="62" t="str"/>
      <x:c r="AQ78" s="62" t="str"/>
      <x:c r="AR78" s="62" t="str"/>
      <x:c r="AS78" s="62" t="str"/>
      <x:c r="AT78" s="62" t="str">
        <x:v>Finding high-quality solutions to mixed-integer linear programming problems (MILPs) is of great importance for many practical applications. In this respect, the refinement heuristic local branching (LB) has been proposed to produce improving solutions and has been highly influential for the development of local search methods in MILP. The algorithm iteratively explores a sequence of solution neighborhoods defined by the so-called local branching constraint, namely, a linear inequality limiting the distance from a reference solution. For a LB algorithm, the choice of the neighborhood size is cr</x:v>
      </x:c>
      <x:c r="AU78" s="62" t="str">
        <x:v>No full-text direct evidence extracted in step 4.</x:v>
      </x:c>
      <x:c r="AV78" s="62" t="str">
        <x:v>Preliminary relevance inference: meets all concept groups for S4.</x:v>
      </x:c>
      <x:c r="AW78" s="62" t="str">
        <x:v>Title/abstract screening cannot establish implementation identity, novelty, or performance comparability.</x:v>
      </x:c>
      <x:c r="AX78" s="62" t="str">
        <x:v>Verify original full text, method details, experimental budget, and six comparability dimensions.</x:v>
      </x:c>
      <x:c r="AY78" s="62" t="str">
        <x:v>unresolved</x:v>
      </x:c>
      <x:c r="AZ78" s="62" t="str">
        <x:v>indirect</x:v>
      </x:c>
      <x:c r="BA78" s="62" t="str">
        <x:v>Title/abstract screened; full-text pending</x:v>
      </x:c>
      <x:c r="BB78" s="62">
        <x:f>IF(COUNTA(B78:BC78)=0,"",IF(A78="","MISSING ID",IFERROR(IF(AND(LEFT(A78,1)="L",ISNUMBER(SEARCH("-E",A78))),"OK","CHECK ID"),"CHECK ID")))</x:f>
      </x:c>
    </x:row>
    <x:row r="79" ht="48" customHeight="1">
      <x:c r="A79" s="63" t="str">
        <x:v>L103-E01</x:v>
      </x:c>
      <x:c r="B79" s="63" t="str">
        <x:v>L103</x:v>
      </x:c>
      <x:c r="C79" s="63" t="str">
        <x:v>OpenAlex S5; title+metadata</x:v>
      </x:c>
      <x:c r="D79" s="63" t="str">
        <x:v>Abstract unavailable</x:v>
      </x:c>
      <x:c r="E79" s="63" t="str">
        <x:v>transferable search-control mechanism</x:v>
      </x:c>
      <x:c r="F79" s="63" t="str">
        <x:v>cross-domain optimization</x:v>
      </x:c>
      <x:c r="G79" s="63" t="str">
        <x:v>neighborhood/operator/heuristic selection</x:v>
      </x:c>
      <x:c r="H79" s="63" t="str">
        <x:v>problem entities not yet extracted</x:v>
      </x:c>
      <x:c r="I79" s="63" t="str">
        <x:v>Pending full-text extraction</x:v>
      </x:c>
      <x:c r="J79" s="63" t="str">
        <x:v>Pending full-text extraction</x:v>
      </x:c>
      <x:c r="K79" s="63" t="str">
        <x:v>Pending full-text extraction</x:v>
      </x:c>
      <x:c r="L79" s="63" t="str">
        <x:v>Pending full-text extraction</x:v>
      </x:c>
      <x:c r="M79" s="63" t="str">
        <x:v>cross-domain optimization</x:v>
      </x:c>
      <x:c r="N79" s="63" t="str">
        <x:v>static/offline or not stated</x:v>
      </x:c>
      <x:c r="O79" s="63" t="str"/>
      <x:c r="P79" s="63" t="str"/>
      <x:c r="Q79" s="63" t="str"/>
      <x:c r="R79" s="63" t="str"/>
      <x:c r="S79" s="63" t="str"/>
      <x:c r="T79" s="63" t="str"/>
      <x:c r="U79" s="63" t="str">
        <x:v>mechanism-transfer candidate</x:v>
      </x:c>
      <x:c r="V79" s="63" t="str">
        <x:v>RL hyper-heuristic</x:v>
      </x:c>
      <x:c r="W79" s="63" t="str"/>
      <x:c r="X79" s="63" t="str">
        <x:v>Frozen-query match: S3,S5; source queries: S5</x:v>
      </x:c>
      <x:c r="Y79" s="63" t="str"/>
      <x:c r="Z79" s="63" t="str"/>
      <x:c r="AA79" s="63" t="str"/>
      <x:c r="AB79" s="63" t="str"/>
      <x:c r="AC79" s="63" t="str"/>
      <x:c r="AD79" s="63" t="str"/>
      <x:c r="AE79" s="63" t="str"/>
      <x:c r="AF79" s="63" t="str"/>
      <x:c r="AG79" s="63" t="str"/>
      <x:c r="AH79" s="63" t="str"/>
      <x:c r="AI79" s="63" t="str"/>
      <x:c r="AJ79" s="63" t="str"/>
      <x:c r="AK79" s="63" t="str"/>
      <x:c r="AL79" s="63" t="str"/>
      <x:c r="AM79" s="63" t="str"/>
      <x:c r="AN79" s="63" t="str"/>
      <x:c r="AO79" s="63" t="str"/>
      <x:c r="AP79" s="63" t="str"/>
      <x:c r="AQ79" s="63" t="str"/>
      <x:c r="AR79" s="63" t="str"/>
      <x:c r="AS79" s="63" t="str"/>
      <x:c r="AT79" s="63" t="str">
        <x:v>No abstract retrieved; no author conclusion extracted.</x:v>
      </x:c>
      <x:c r="AU79" s="63" t="str">
        <x:v>No full-text direct evidence extracted in step 4.</x:v>
      </x:c>
      <x:c r="AV79" s="63" t="str">
        <x:v>Preliminary relevance inference: meets all concept groups for S3, S5.</x:v>
      </x:c>
      <x:c r="AW79" s="63" t="str">
        <x:v>Title/abstract screening cannot establish implementation identity, novelty, or performance comparability.</x:v>
      </x:c>
      <x:c r="AX79" s="63" t="str">
        <x:v>Verify original full text, method details, experimental budget, and six comparability dimensions.</x:v>
      </x:c>
      <x:c r="AY79" s="63" t="str">
        <x:v>unresolved</x:v>
      </x:c>
      <x:c r="AZ79" s="63" t="str">
        <x:v>indirect</x:v>
      </x:c>
      <x:c r="BA79" s="63" t="str">
        <x:v>Title/abstract screened; full-text pending</x:v>
      </x:c>
      <x:c r="BB79" s="63">
        <x:f>IF(COUNTA(B79:BC79)=0,"",IF(A79="","MISSING ID",IFERROR(IF(AND(LEFT(A79,1)="L",ISNUMBER(SEARCH("-E",A79))),"OK","CHECK ID"),"CHECK ID")))</x:f>
      </x:c>
    </x:row>
    <x:row r="80" ht="48" customHeight="1">
      <x:c r="A80" s="62" t="str">
        <x:v>L104-E01</x:v>
      </x:c>
      <x:c r="B80" s="62" t="str">
        <x:v>L104</x:v>
      </x:c>
      <x:c r="C80" s="62" t="str">
        <x:v>arXiv S4; title+abstract</x:v>
      </x:c>
      <x:c r="D80" s="62" t="str">
        <x:v>Database abstract available</x:v>
      </x:c>
      <x:c r="E80" s="62" t="str">
        <x:v>shop scheduling mechanism</x:v>
      </x:c>
      <x:c r="F80" s="62" t="str">
        <x:v>workshop</x:v>
      </x:c>
      <x:c r="G80" s="62" t="str">
        <x:v>search intensity, neighborhood size, or computational budget</x:v>
      </x:c>
      <x:c r="H80" s="62" t="str">
        <x:v>problem entities not yet extracted</x:v>
      </x:c>
      <x:c r="I80" s="62" t="str">
        <x:v>Pending full-text extraction</x:v>
      </x:c>
      <x:c r="J80" s="62" t="str">
        <x:v>Pending full-text extraction</x:v>
      </x:c>
      <x:c r="K80" s="62" t="str">
        <x:v>Pending full-text extraction</x:v>
      </x:c>
      <x:c r="L80" s="62" t="str">
        <x:v>Pending full-text extraction</x:v>
      </x:c>
      <x:c r="M80" s="62" t="str">
        <x:v>workshop</x:v>
      </x:c>
      <x:c r="N80" s="62" t="str">
        <x:v>static/offline or not stated</x:v>
      </x:c>
      <x:c r="O80" s="62" t="str"/>
      <x:c r="P80" s="62" t="str"/>
      <x:c r="Q80" s="62" t="str"/>
      <x:c r="R80" s="62" t="str"/>
      <x:c r="S80" s="62" t="str"/>
      <x:c r="T80" s="62" t="str"/>
      <x:c r="U80" s="62" t="str">
        <x:v>mechanism-transfer candidate</x:v>
      </x:c>
      <x:c r="V80" s="62" t="str">
        <x:v>adaptive search control</x:v>
      </x:c>
      <x:c r="W80" s="62" t="str"/>
      <x:c r="X80" s="62" t="str">
        <x:v>Frozen-query match: S4; source queries: S4</x:v>
      </x:c>
      <x:c r="Y80" s="62" t="str"/>
      <x:c r="Z80" s="62" t="str"/>
      <x:c r="AA80" s="62" t="str"/>
      <x:c r="AB80" s="62" t="str"/>
      <x:c r="AC80" s="62" t="str"/>
      <x:c r="AD80" s="62" t="str"/>
      <x:c r="AE80" s="62" t="str"/>
      <x:c r="AF80" s="62" t="str"/>
      <x:c r="AG80" s="62" t="str"/>
      <x:c r="AH80" s="62" t="str"/>
      <x:c r="AI80" s="62" t="str"/>
      <x:c r="AJ80" s="62" t="str"/>
      <x:c r="AK80" s="62" t="str"/>
      <x:c r="AL80" s="62" t="str"/>
      <x:c r="AM80" s="62" t="str"/>
      <x:c r="AN80" s="62" t="str"/>
      <x:c r="AO80" s="62" t="str"/>
      <x:c r="AP80" s="62" t="str"/>
      <x:c r="AQ80" s="62" t="str"/>
      <x:c r="AR80" s="62" t="str"/>
      <x:c r="AS80" s="62" t="str"/>
      <x:c r="AT80" s="62" t="str">
        <x:v>A customized multi-objective evolutionary algorithm (MOEA) is proposed for the multi-objective flexible job shop scheduling problem (FJSP). It uses smart initialization approaches to enrich the first generated population, and proposes various crossover operators to create a better diversity of offspring. Especially, the MIP-EGO configurator, which can tune algorithm parameters, is adopted to automatically tune operator probabilities. Furthermore, different local search strategies are employed to explore the neighborhood for better solutions. In general, the algorithm enhancement strategy can b</x:v>
      </x:c>
      <x:c r="AU80" s="62" t="str">
        <x:v>No full-text direct evidence extracted in step 4.</x:v>
      </x:c>
      <x:c r="AV80" s="62" t="str">
        <x:v>Preliminary relevance inference: meets all concept groups for S4.</x:v>
      </x:c>
      <x:c r="AW80" s="62" t="str">
        <x:v>Title/abstract screening cannot establish implementation identity, novelty, or performance comparability.</x:v>
      </x:c>
      <x:c r="AX80" s="62" t="str">
        <x:v>Verify original full text, method details, experimental budget, and six comparability dimensions.</x:v>
      </x:c>
      <x:c r="AY80" s="62" t="str">
        <x:v>unresolved</x:v>
      </x:c>
      <x:c r="AZ80" s="62" t="str">
        <x:v>indirect</x:v>
      </x:c>
      <x:c r="BA80" s="62" t="str">
        <x:v>Title/abstract screened; full-text pending</x:v>
      </x:c>
      <x:c r="BB80" s="62">
        <x:f>IF(COUNTA(B80:BC80)=0,"",IF(A80="","MISSING ID",IFERROR(IF(AND(LEFT(A80,1)="L",ISNUMBER(SEARCH("-E",A80))),"OK","CHECK ID"),"CHECK ID")))</x:f>
      </x:c>
    </x:row>
    <x:row r="81" ht="48" customHeight="1">
      <x:c r="A81" s="63" t="str">
        <x:v>L105-E01</x:v>
      </x:c>
      <x:c r="B81" s="63" t="str">
        <x:v>L105</x:v>
      </x:c>
      <x:c r="C81" s="63" t="str">
        <x:v>OpenAlex-S6-trace S6; title+abstract</x:v>
      </x:c>
      <x:c r="D81" s="63" t="str">
        <x:v>Database abstract available</x:v>
      </x:c>
      <x:c r="E81" s="63" t="str">
        <x:v>transferable search-control mechanism</x:v>
      </x:c>
      <x:c r="F81" s="63" t="str">
        <x:v>routing/transport</x:v>
      </x:c>
      <x:c r="G81" s="63" t="str">
        <x:v>search intensity, neighborhood size, or computational budget</x:v>
      </x:c>
      <x:c r="H81" s="63" t="str">
        <x:v>problem entities not yet extracted</x:v>
      </x:c>
      <x:c r="I81" s="63" t="str">
        <x:v>Pending full-text extraction</x:v>
      </x:c>
      <x:c r="J81" s="63" t="str">
        <x:v>Pending full-text extraction</x:v>
      </x:c>
      <x:c r="K81" s="63" t="str">
        <x:v>Pending full-text extraction</x:v>
      </x:c>
      <x:c r="L81" s="63" t="str">
        <x:v>Pending full-text extraction</x:v>
      </x:c>
      <x:c r="M81" s="63" t="str">
        <x:v>routing/transport</x:v>
      </x:c>
      <x:c r="N81" s="63" t="str">
        <x:v>static/offline or not stated</x:v>
      </x:c>
      <x:c r="O81" s="63" t="str"/>
      <x:c r="P81" s="63" t="str"/>
      <x:c r="Q81" s="63" t="str"/>
      <x:c r="R81" s="63" t="str"/>
      <x:c r="S81" s="63" t="str"/>
      <x:c r="T81" s="63" t="str"/>
      <x:c r="U81" s="63" t="str">
        <x:v>mechanism-transfer candidate</x:v>
      </x:c>
      <x:c r="V81" s="63" t="str">
        <x:v>adaptive search control</x:v>
      </x:c>
      <x:c r="W81" s="63" t="str"/>
      <x:c r="X81" s="63" t="str">
        <x:v>Frozen-query match: S4; source queries: S6</x:v>
      </x:c>
      <x:c r="Y81" s="63" t="str"/>
      <x:c r="Z81" s="63" t="str"/>
      <x:c r="AA81" s="63" t="str"/>
      <x:c r="AB81" s="63" t="str"/>
      <x:c r="AC81" s="63" t="str"/>
      <x:c r="AD81" s="63" t="str"/>
      <x:c r="AE81" s="63" t="str"/>
      <x:c r="AF81" s="63" t="str"/>
      <x:c r="AG81" s="63" t="str"/>
      <x:c r="AH81" s="63" t="str"/>
      <x:c r="AI81" s="63" t="str"/>
      <x:c r="AJ81" s="63" t="str"/>
      <x:c r="AK81" s="63" t="str"/>
      <x:c r="AL81" s="63" t="str"/>
      <x:c r="AM81" s="63" t="str"/>
      <x:c r="AN81" s="63" t="str"/>
      <x:c r="AO81" s="63" t="str"/>
      <x:c r="AP81" s="63" t="str"/>
      <x:c r="AQ81" s="63" t="str"/>
      <x:c r="AR81" s="63" t="str"/>
      <x:c r="AS81" s="63" t="str"/>
      <x:c r="AT81" s="63" t="str">
        <x:v>Abstract The VeRoLog Solver Challenge 2018–2019 of the EURO working group vehicle routing and logistics (VeRoLog) considers a multiperiod vehicle and technician routing and scheduling problem. This paper proposes a combination of large neighborhood and local search heuristics and a decomposition approach to efficiently generate competitive solutions under restricted computational resources. The interplay of the heuristics, the decomposition, and the way the search space is explored are orchestrated by an adaptive layer that explicitly considers the instance to be solved, a time limit and the p</x:v>
      </x:c>
      <x:c r="AU81" s="63" t="str">
        <x:v>No full-text direct evidence extracted in step 4.</x:v>
      </x:c>
      <x:c r="AV81" s="63" t="str">
        <x:v>Preliminary relevance inference: meets all concept groups for S4.</x:v>
      </x:c>
      <x:c r="AW81" s="63" t="str">
        <x:v>Title/abstract screening cannot establish implementation identity, novelty, or performance comparability.</x:v>
      </x:c>
      <x:c r="AX81" s="63" t="str">
        <x:v>Verify original full text, method details, experimental budget, and six comparability dimensions.</x:v>
      </x:c>
      <x:c r="AY81" s="63" t="str">
        <x:v>unresolved</x:v>
      </x:c>
      <x:c r="AZ81" s="63" t="str">
        <x:v>indirect</x:v>
      </x:c>
      <x:c r="BA81" s="63" t="str">
        <x:v>Title/abstract screened; full-text pending</x:v>
      </x:c>
      <x:c r="BB81" s="63">
        <x:f>IF(COUNTA(B81:BC81)=0,"",IF(A81="","MISSING ID",IFERROR(IF(AND(LEFT(A81,1)="L",ISNUMBER(SEARCH("-E",A81))),"OK","CHECK ID"),"CHECK ID")))</x:f>
      </x:c>
    </x:row>
    <x:row r="82" ht="48" customHeight="1">
      <x:c r="A82" s="62" t="str">
        <x:v>L106-E01</x:v>
      </x:c>
      <x:c r="B82" s="62" t="str">
        <x:v>L106</x:v>
      </x:c>
      <x:c r="C82" s="62" t="str">
        <x:v>OpenAlex S4; title+abstract</x:v>
      </x:c>
      <x:c r="D82" s="62" t="str">
        <x:v>Database abstract available</x:v>
      </x:c>
      <x:c r="E82" s="62" t="str">
        <x:v>transferable search-control mechanism</x:v>
      </x:c>
      <x:c r="F82" s="62" t="str">
        <x:v>cross-domain optimization</x:v>
      </x:c>
      <x:c r="G82" s="62" t="str">
        <x:v>search intensity, neighborhood size, or computational budget</x:v>
      </x:c>
      <x:c r="H82" s="62" t="str">
        <x:v>problem entities not yet extracted</x:v>
      </x:c>
      <x:c r="I82" s="62" t="str">
        <x:v>Pending full-text extraction</x:v>
      </x:c>
      <x:c r="J82" s="62" t="str">
        <x:v>Pending full-text extraction</x:v>
      </x:c>
      <x:c r="K82" s="62" t="str">
        <x:v>Pending full-text extraction</x:v>
      </x:c>
      <x:c r="L82" s="62" t="str">
        <x:v>Pending full-text extraction</x:v>
      </x:c>
      <x:c r="M82" s="62" t="str">
        <x:v>cross-domain optimization</x:v>
      </x:c>
      <x:c r="N82" s="62" t="str">
        <x:v>static/offline or not stated</x:v>
      </x:c>
      <x:c r="O82" s="62" t="str"/>
      <x:c r="P82" s="62" t="str"/>
      <x:c r="Q82" s="62" t="str"/>
      <x:c r="R82" s="62" t="str"/>
      <x:c r="S82" s="62" t="str"/>
      <x:c r="T82" s="62" t="str"/>
      <x:c r="U82" s="62" t="str">
        <x:v>mechanism-transfer candidate</x:v>
      </x:c>
      <x:c r="V82" s="62" t="str">
        <x:v>adaptive search control</x:v>
      </x:c>
      <x:c r="W82" s="62" t="str"/>
      <x:c r="X82" s="62" t="str">
        <x:v>Frozen-query match: S4; source queries: S4</x:v>
      </x:c>
      <x:c r="Y82" s="62" t="str"/>
      <x:c r="Z82" s="62" t="str"/>
      <x:c r="AA82" s="62" t="str"/>
      <x:c r="AB82" s="62" t="str"/>
      <x:c r="AC82" s="62" t="str"/>
      <x:c r="AD82" s="62" t="str"/>
      <x:c r="AE82" s="62" t="str"/>
      <x:c r="AF82" s="62" t="str"/>
      <x:c r="AG82" s="62" t="str"/>
      <x:c r="AH82" s="62" t="str"/>
      <x:c r="AI82" s="62" t="str"/>
      <x:c r="AJ82" s="62" t="str"/>
      <x:c r="AK82" s="62" t="str"/>
      <x:c r="AL82" s="62" t="str"/>
      <x:c r="AM82" s="62" t="str"/>
      <x:c r="AN82" s="62" t="str"/>
      <x:c r="AO82" s="62" t="str"/>
      <x:c r="AP82" s="62" t="str"/>
      <x:c r="AQ82" s="62" t="str"/>
      <x:c r="AR82" s="62" t="str"/>
      <x:c r="AS82" s="62" t="str"/>
      <x:c r="AT82" s="62" t="str">
        <x:v>Selection hyper-heuristics (HHs) are randomised search methodologies which choose and execute heuristics during the optimisation process from a set of low-level heuristics. A machine learning mechanism is generally used to decide which low-level heuristic should be applied in each decision step. In this article, we analyse whether sophisticated learning mechanisms are always necessary for HHs to perform well. To this end we consider the most simple HHs from the literature and rigorously analyse their performance for the LeadingOnes benchmark function. Our analysis shows that the standard Simpl</x:v>
      </x:c>
      <x:c r="AU82" s="62" t="str">
        <x:v>No full-text direct evidence extracted in step 4.</x:v>
      </x:c>
      <x:c r="AV82" s="62" t="str">
        <x:v>Preliminary relevance inference: meets all concept groups for S4.</x:v>
      </x:c>
      <x:c r="AW82" s="62" t="str">
        <x:v>Title/abstract screening cannot establish implementation identity, novelty, or performance comparability.</x:v>
      </x:c>
      <x:c r="AX82" s="62" t="str">
        <x:v>Verify original full text, method details, experimental budget, and six comparability dimensions.</x:v>
      </x:c>
      <x:c r="AY82" s="62" t="str">
        <x:v>unresolved</x:v>
      </x:c>
      <x:c r="AZ82" s="62" t="str">
        <x:v>indirect</x:v>
      </x:c>
      <x:c r="BA82" s="62" t="str">
        <x:v>Title/abstract screened; full-text pending</x:v>
      </x:c>
      <x:c r="BB82" s="62">
        <x:f>IF(COUNTA(B82:BC82)=0,"",IF(A82="","MISSING ID",IFERROR(IF(AND(LEFT(A82,1)="L",ISNUMBER(SEARCH("-E",A82))),"OK","CHECK ID"),"CHECK ID")))</x:f>
      </x:c>
    </x:row>
    <x:row r="83" ht="48" customHeight="1">
      <x:c r="A83" s="63" t="str">
        <x:v>L107-E01</x:v>
      </x:c>
      <x:c r="B83" s="63" t="str">
        <x:v>L107</x:v>
      </x:c>
      <x:c r="C83" s="63" t="str">
        <x:v>arXiv S4; title+abstract</x:v>
      </x:c>
      <x:c r="D83" s="63" t="str">
        <x:v>Database abstract available</x:v>
      </x:c>
      <x:c r="E83" s="63" t="str">
        <x:v>transferable search-control mechanism</x:v>
      </x:c>
      <x:c r="F83" s="63" t="str">
        <x:v>cross-domain optimization</x:v>
      </x:c>
      <x:c r="G83" s="63" t="str">
        <x:v>search intensity, neighborhood size, or computational budget</x:v>
      </x:c>
      <x:c r="H83" s="63" t="str">
        <x:v>problem entities not yet extracted</x:v>
      </x:c>
      <x:c r="I83" s="63" t="str">
        <x:v>Pending full-text extraction</x:v>
      </x:c>
      <x:c r="J83" s="63" t="str">
        <x:v>Pending full-text extraction</x:v>
      </x:c>
      <x:c r="K83" s="63" t="str">
        <x:v>Pending full-text extraction</x:v>
      </x:c>
      <x:c r="L83" s="63" t="str">
        <x:v>Pending full-text extraction</x:v>
      </x:c>
      <x:c r="M83" s="63" t="str">
        <x:v>cross-domain optimization</x:v>
      </x:c>
      <x:c r="N83" s="63" t="str">
        <x:v>static/offline or not stated</x:v>
      </x:c>
      <x:c r="O83" s="63" t="str"/>
      <x:c r="P83" s="63" t="str"/>
      <x:c r="Q83" s="63" t="str"/>
      <x:c r="R83" s="63" t="str"/>
      <x:c r="S83" s="63" t="str"/>
      <x:c r="T83" s="63" t="str"/>
      <x:c r="U83" s="63" t="str">
        <x:v>mechanism-transfer candidate</x:v>
      </x:c>
      <x:c r="V83" s="63" t="str">
        <x:v>adaptive search control</x:v>
      </x:c>
      <x:c r="W83" s="63" t="str"/>
      <x:c r="X83" s="63" t="str">
        <x:v>Frozen-query match: S4; source queries: S4</x:v>
      </x:c>
      <x:c r="Y83" s="63" t="str"/>
      <x:c r="Z83" s="63" t="str"/>
      <x:c r="AA83" s="63" t="str"/>
      <x:c r="AB83" s="63" t="str"/>
      <x:c r="AC83" s="63" t="str"/>
      <x:c r="AD83" s="63" t="str"/>
      <x:c r="AE83" s="63" t="str"/>
      <x:c r="AF83" s="63" t="str"/>
      <x:c r="AG83" s="63" t="str"/>
      <x:c r="AH83" s="63" t="str"/>
      <x:c r="AI83" s="63" t="str"/>
      <x:c r="AJ83" s="63" t="str"/>
      <x:c r="AK83" s="63" t="str"/>
      <x:c r="AL83" s="63" t="str"/>
      <x:c r="AM83" s="63" t="str"/>
      <x:c r="AN83" s="63" t="str"/>
      <x:c r="AO83" s="63" t="str"/>
      <x:c r="AP83" s="63" t="str"/>
      <x:c r="AQ83" s="63" t="str"/>
      <x:c r="AR83" s="63" t="str"/>
      <x:c r="AS83" s="63" t="str"/>
      <x:c r="AT83" s="63" t="str">
        <x:v>A commonly used strategy for improving optimization algorithms is to restart the algorithm when it is believed to be trapped in an inferior part of the search space. Building on the recent success of Bet-and-Run approaches for restarted local search solvers, we introduce an improved generic Bet-and-Run strategy. The goal is to obtain the best possible results within a given time budget t using a given black-box optimization algorithm. If no prior knowledge about problem features and algorithm behavior is available, the question about how to use the time budget most efficiently arises. We propo</x:v>
      </x:c>
      <x:c r="AU83" s="63" t="str">
        <x:v>No full-text direct evidence extracted in step 4.</x:v>
      </x:c>
      <x:c r="AV83" s="63" t="str">
        <x:v>Preliminary relevance inference: meets all concept groups for S4.</x:v>
      </x:c>
      <x:c r="AW83" s="63" t="str">
        <x:v>Title/abstract screening cannot establish implementation identity, novelty, or performance comparability.</x:v>
      </x:c>
      <x:c r="AX83" s="63" t="str">
        <x:v>Verify original full text, method details, experimental budget, and six comparability dimensions.</x:v>
      </x:c>
      <x:c r="AY83" s="63" t="str">
        <x:v>unresolved</x:v>
      </x:c>
      <x:c r="AZ83" s="63" t="str">
        <x:v>indirect</x:v>
      </x:c>
      <x:c r="BA83" s="63" t="str">
        <x:v>Title/abstract screened; full-text pending</x:v>
      </x:c>
      <x:c r="BB83" s="63">
        <x:f>IF(COUNTA(B83:BC83)=0,"",IF(A83="","MISSING ID",IFERROR(IF(AND(LEFT(A83,1)="L",ISNUMBER(SEARCH("-E",A83))),"OK","CHECK ID"),"CHECK ID")))</x:f>
      </x:c>
    </x:row>
    <x:row r="84" ht="48" customHeight="1">
      <x:c r="A84" s="62" t="str">
        <x:v>L108-E01</x:v>
      </x:c>
      <x:c r="B84" s="62" t="str">
        <x:v>L108</x:v>
      </x:c>
      <x:c r="C84" s="62" t="str">
        <x:v>arXiv S4; title+abstract</x:v>
      </x:c>
      <x:c r="D84" s="62" t="str">
        <x:v>Database abstract available</x:v>
      </x:c>
      <x:c r="E84" s="62" t="str">
        <x:v>transferable search-control mechanism</x:v>
      </x:c>
      <x:c r="F84" s="62" t="str">
        <x:v>cross-domain optimization</x:v>
      </x:c>
      <x:c r="G84" s="62" t="str">
        <x:v>search intensity, neighborhood size, or computational budget</x:v>
      </x:c>
      <x:c r="H84" s="62" t="str">
        <x:v>problem entities not yet extracted</x:v>
      </x:c>
      <x:c r="I84" s="62" t="str">
        <x:v>Pending full-text extraction</x:v>
      </x:c>
      <x:c r="J84" s="62" t="str">
        <x:v>Pending full-text extraction</x:v>
      </x:c>
      <x:c r="K84" s="62" t="str">
        <x:v>Pending full-text extraction</x:v>
      </x:c>
      <x:c r="L84" s="62" t="str">
        <x:v>Pending full-text extraction</x:v>
      </x:c>
      <x:c r="M84" s="62" t="str">
        <x:v>cross-domain optimization</x:v>
      </x:c>
      <x:c r="N84" s="62" t="str">
        <x:v>static/offline or not stated</x:v>
      </x:c>
      <x:c r="O84" s="62" t="str"/>
      <x:c r="P84" s="62" t="str"/>
      <x:c r="Q84" s="62" t="str"/>
      <x:c r="R84" s="62" t="str"/>
      <x:c r="S84" s="62" t="str"/>
      <x:c r="T84" s="62" t="str"/>
      <x:c r="U84" s="62" t="str">
        <x:v>mechanism-transfer candidate</x:v>
      </x:c>
      <x:c r="V84" s="62" t="str">
        <x:v>adaptive search control</x:v>
      </x:c>
      <x:c r="W84" s="62" t="str"/>
      <x:c r="X84" s="62" t="str">
        <x:v>Frozen-query match: S4; source queries: S4</x:v>
      </x:c>
      <x:c r="Y84" s="62" t="str"/>
      <x:c r="Z84" s="62" t="str"/>
      <x:c r="AA84" s="62" t="str"/>
      <x:c r="AB84" s="62" t="str"/>
      <x:c r="AC84" s="62" t="str"/>
      <x:c r="AD84" s="62" t="str"/>
      <x:c r="AE84" s="62" t="str"/>
      <x:c r="AF84" s="62" t="str"/>
      <x:c r="AG84" s="62" t="str"/>
      <x:c r="AH84" s="62" t="str"/>
      <x:c r="AI84" s="62" t="str"/>
      <x:c r="AJ84" s="62" t="str"/>
      <x:c r="AK84" s="62" t="str"/>
      <x:c r="AL84" s="62" t="str"/>
      <x:c r="AM84" s="62" t="str"/>
      <x:c r="AN84" s="62" t="str"/>
      <x:c r="AO84" s="62" t="str"/>
      <x:c r="AP84" s="62" t="str"/>
      <x:c r="AQ84" s="62" t="str"/>
      <x:c r="AR84" s="62" t="str"/>
      <x:c r="AS84" s="62" t="str"/>
      <x:c r="AT84" s="62" t="str">
        <x:v>Selection HHs are randomised search methodologies which choose and execute heuristics during the optimisation process from a set of low-level heuristics. A machine learning mechanism is generally used to decide which low-level heuristic should be applied in each decision step. In this paper we analyse whether sophisticated learning mechanisms are always necessary for HHs to perform well. To this end we consider the most simple HHs from the literature and rigorously analyse their performance for the LeadingOnes function. Our analysis shows that the standard Simple Random, Permutation, Greedy an</x:v>
      </x:c>
      <x:c r="AU84" s="62" t="str">
        <x:v>No full-text direct evidence extracted in step 4.</x:v>
      </x:c>
      <x:c r="AV84" s="62" t="str">
        <x:v>Preliminary relevance inference: meets all concept groups for S4.</x:v>
      </x:c>
      <x:c r="AW84" s="62" t="str">
        <x:v>Title/abstract screening cannot establish implementation identity, novelty, or performance comparability.</x:v>
      </x:c>
      <x:c r="AX84" s="62" t="str">
        <x:v>Verify original full text, method details, experimental budget, and six comparability dimensions.</x:v>
      </x:c>
      <x:c r="AY84" s="62" t="str">
        <x:v>unresolved</x:v>
      </x:c>
      <x:c r="AZ84" s="62" t="str">
        <x:v>indirect</x:v>
      </x:c>
      <x:c r="BA84" s="62" t="str">
        <x:v>Title/abstract screened; full-text pending</x:v>
      </x:c>
      <x:c r="BB84" s="62">
        <x:f>IF(COUNTA(B84:BC84)=0,"",IF(A84="","MISSING ID",IFERROR(IF(AND(LEFT(A84,1)="L",ISNUMBER(SEARCH("-E",A84))),"OK","CHECK ID"),"CHECK ID")))</x:f>
      </x:c>
    </x:row>
    <x:row r="85" ht="48" customHeight="1">
      <x:c r="A85" s="63" t="str">
        <x:v>L109-E01</x:v>
      </x:c>
      <x:c r="B85" s="63" t="str">
        <x:v>L109</x:v>
      </x:c>
      <x:c r="C85" s="63" t="str">
        <x:v>OpenAlex S2,S5; title+abstract</x:v>
      </x:c>
      <x:c r="D85" s="63" t="str">
        <x:v>Database abstract available</x:v>
      </x:c>
      <x:c r="E85" s="63" t="str">
        <x:v>shop scheduling mechanism</x:v>
      </x:c>
      <x:c r="F85" s="63" t="str">
        <x:v>workshop</x:v>
      </x:c>
      <x:c r="G85" s="63" t="str">
        <x:v>critical/bottleneck region or local-search move</x:v>
      </x:c>
      <x:c r="H85" s="63" t="str">
        <x:v>problem entities not yet extracted</x:v>
      </x:c>
      <x:c r="I85" s="63" t="str">
        <x:v>Pending full-text extraction</x:v>
      </x:c>
      <x:c r="J85" s="63" t="str">
        <x:v>Pending full-text extraction</x:v>
      </x:c>
      <x:c r="K85" s="63" t="str">
        <x:v>Pending full-text extraction</x:v>
      </x:c>
      <x:c r="L85" s="63" t="str">
        <x:v>Pending full-text extraction</x:v>
      </x:c>
      <x:c r="M85" s="63" t="str">
        <x:v>workshop</x:v>
      </x:c>
      <x:c r="N85" s="63" t="str">
        <x:v>static/offline or not stated</x:v>
      </x:c>
      <x:c r="O85" s="63" t="str"/>
      <x:c r="P85" s="63" t="str"/>
      <x:c r="Q85" s="63" t="str"/>
      <x:c r="R85" s="63" t="str"/>
      <x:c r="S85" s="63" t="str"/>
      <x:c r="T85" s="63" t="str"/>
      <x:c r="U85" s="63" t="str">
        <x:v>mechanism-transfer candidate</x:v>
      </x:c>
      <x:c r="V85" s="63" t="str">
        <x:v>scheduling/metaheuristic</x:v>
      </x:c>
      <x:c r="W85" s="63" t="str"/>
      <x:c r="X85" s="63" t="str">
        <x:v>Frozen-query match: S2; source queries: S2,S5</x:v>
      </x:c>
      <x:c r="Y85" s="63" t="str"/>
      <x:c r="Z85" s="63" t="str"/>
      <x:c r="AA85" s="63" t="str"/>
      <x:c r="AB85" s="63" t="str"/>
      <x:c r="AC85" s="63" t="str"/>
      <x:c r="AD85" s="63" t="str"/>
      <x:c r="AE85" s="63" t="str"/>
      <x:c r="AF85" s="63" t="str"/>
      <x:c r="AG85" s="63" t="str"/>
      <x:c r="AH85" s="63" t="str"/>
      <x:c r="AI85" s="63" t="str"/>
      <x:c r="AJ85" s="63" t="str"/>
      <x:c r="AK85" s="63" t="str"/>
      <x:c r="AL85" s="63" t="str"/>
      <x:c r="AM85" s="63" t="str"/>
      <x:c r="AN85" s="63" t="str"/>
      <x:c r="AO85" s="63" t="str"/>
      <x:c r="AP85" s="63" t="str"/>
      <x:c r="AQ85" s="63" t="str"/>
      <x:c r="AR85" s="63" t="str"/>
      <x:c r="AS85" s="63" t="str"/>
      <x:c r="AT85" s="63" t="str">
        <x:v>The flexible job shop scheduling problem (FJSP) is a generalization of the classical job shop scheduling problem that allows to process operations on one machine out of a set of alternative machines. The FJSP is an NP-hard problem consisting of two sub-problems, which are the assignment and the scheduling problems. In this paper, we propose how to solve the FJSP by hybrid metaheuristics-based clustered holonic multiagent model. First, a neighborhood-based genetic algorithm (NGA) is applied by a scheduler agent for a global exploration of the search space. Second, a local search technique is us</x:v>
      </x:c>
      <x:c r="AU85" s="63" t="str">
        <x:v>No full-text direct evidence extracted in step 4.</x:v>
      </x:c>
      <x:c r="AV85" s="63" t="str">
        <x:v>Preliminary relevance inference: meets all concept groups for S2.</x:v>
      </x:c>
      <x:c r="AW85" s="63" t="str">
        <x:v>Title/abstract screening cannot establish implementation identity, novelty, or performance comparability.</x:v>
      </x:c>
      <x:c r="AX85" s="63" t="str">
        <x:v>Verify original full text, method details, experimental budget, and six comparability dimensions.</x:v>
      </x:c>
      <x:c r="AY85" s="63" t="str">
        <x:v>unresolved</x:v>
      </x:c>
      <x:c r="AZ85" s="63" t="str">
        <x:v>indirect</x:v>
      </x:c>
      <x:c r="BA85" s="63" t="str">
        <x:v>Title/abstract screened; full-text pending</x:v>
      </x:c>
      <x:c r="BB85" s="63">
        <x:f>IF(COUNTA(B85:BC85)=0,"",IF(A85="","MISSING ID",IFERROR(IF(AND(LEFT(A85,1)="L",ISNUMBER(SEARCH("-E",A85))),"OK","CHECK ID"),"CHECK ID")))</x:f>
      </x:c>
    </x:row>
    <x:row r="86" ht="48" customHeight="1">
      <x:c r="A86" s="62" t="str">
        <x:v>L110-E01</x:v>
      </x:c>
      <x:c r="B86" s="62" t="str">
        <x:v>L110</x:v>
      </x:c>
      <x:c r="C86" s="62" t="str">
        <x:v>OpenAlex S5; title+abstract</x:v>
      </x:c>
      <x:c r="D86" s="62" t="str">
        <x:v>Database abstract available</x:v>
      </x:c>
      <x:c r="E86" s="62" t="str">
        <x:v>transferable search-control mechanism</x:v>
      </x:c>
      <x:c r="F86" s="62" t="str">
        <x:v>cross-domain optimization</x:v>
      </x:c>
      <x:c r="G86" s="62" t="str">
        <x:v>neighborhood/operator/heuristic selection</x:v>
      </x:c>
      <x:c r="H86" s="62" t="str">
        <x:v>problem entities not yet extracted</x:v>
      </x:c>
      <x:c r="I86" s="62" t="str">
        <x:v>Pending full-text extraction</x:v>
      </x:c>
      <x:c r="J86" s="62" t="str">
        <x:v>Pending full-text extraction</x:v>
      </x:c>
      <x:c r="K86" s="62" t="str">
        <x:v>Pending full-text extraction</x:v>
      </x:c>
      <x:c r="L86" s="62" t="str">
        <x:v>Pending full-text extraction</x:v>
      </x:c>
      <x:c r="M86" s="62" t="str">
        <x:v>cross-domain optimization</x:v>
      </x:c>
      <x:c r="N86" s="62" t="str">
        <x:v>static/offline or not stated</x:v>
      </x:c>
      <x:c r="O86" s="62" t="str"/>
      <x:c r="P86" s="62" t="str"/>
      <x:c r="Q86" s="62" t="str"/>
      <x:c r="R86" s="62" t="str"/>
      <x:c r="S86" s="62" t="str"/>
      <x:c r="T86" s="62" t="str"/>
      <x:c r="U86" s="62" t="str">
        <x:v>mechanism-transfer candidate</x:v>
      </x:c>
      <x:c r="V86" s="62" t="str">
        <x:v>RL hyper-heuristic</x:v>
      </x:c>
      <x:c r="W86" s="62" t="str"/>
      <x:c r="X86" s="62" t="str">
        <x:v>Frozen-query match: S3,S5; source queries: S5</x:v>
      </x:c>
      <x:c r="Y86" s="62" t="str"/>
      <x:c r="Z86" s="62" t="str"/>
      <x:c r="AA86" s="62" t="str"/>
      <x:c r="AB86" s="62" t="str"/>
      <x:c r="AC86" s="62" t="str"/>
      <x:c r="AD86" s="62" t="str"/>
      <x:c r="AE86" s="62" t="str"/>
      <x:c r="AF86" s="62" t="str"/>
      <x:c r="AG86" s="62" t="str"/>
      <x:c r="AH86" s="62" t="str"/>
      <x:c r="AI86" s="62" t="str"/>
      <x:c r="AJ86" s="62" t="str"/>
      <x:c r="AK86" s="62" t="str"/>
      <x:c r="AL86" s="62" t="str"/>
      <x:c r="AM86" s="62" t="str"/>
      <x:c r="AN86" s="62" t="str"/>
      <x:c r="AO86" s="62" t="str"/>
      <x:c r="AP86" s="62" t="str"/>
      <x:c r="AQ86" s="62" t="str"/>
      <x:c r="AR86" s="62" t="str"/>
      <x:c r="AS86" s="62" t="str"/>
      <x:c r="AT86" s="62" t="str">
        <x:v>Optimization in current decision support systems has a highly interdisciplinary nature related with the need to integrate different techniques and paradigms for solving real-world complex problems. Computing optimal solutions in many of these problems are unmanageable. Heuristic search methods are known to obtain good results in an acceptable time interval. However, parameters need to be adjusted to allow good results. In this sense, learning strategies can enhance the performance of a system, providing it with the ability to learn, for instance, the most suitable optimization technique for so</x:v>
      </x:c>
      <x:c r="AU86" s="62" t="str">
        <x:v>No full-text direct evidence extracted in step 4.</x:v>
      </x:c>
      <x:c r="AV86" s="62" t="str">
        <x:v>Preliminary relevance inference: meets all concept groups for S3, S5.</x:v>
      </x:c>
      <x:c r="AW86" s="62" t="str">
        <x:v>Title/abstract screening cannot establish implementation identity, novelty, or performance comparability.</x:v>
      </x:c>
      <x:c r="AX86" s="62" t="str">
        <x:v>Verify original full text, method details, experimental budget, and six comparability dimensions.</x:v>
      </x:c>
      <x:c r="AY86" s="62" t="str">
        <x:v>unresolved</x:v>
      </x:c>
      <x:c r="AZ86" s="62" t="str">
        <x:v>indirect</x:v>
      </x:c>
      <x:c r="BA86" s="62" t="str">
        <x:v>Title/abstract screened; full-text pending</x:v>
      </x:c>
      <x:c r="BB86" s="62">
        <x:f>IF(COUNTA(B86:BC86)=0,"",IF(A86="","MISSING ID",IFERROR(IF(AND(LEFT(A86,1)="L",ISNUMBER(SEARCH("-E",A86))),"OK","CHECK ID"),"CHECK ID")))</x:f>
      </x:c>
    </x:row>
    <x:row r="87" ht="48" customHeight="1">
      <x:c r="A87" s="63" t="str">
        <x:v>L111-E01</x:v>
      </x:c>
      <x:c r="B87" s="63" t="str">
        <x:v>L111</x:v>
      </x:c>
      <x:c r="C87" s="63" t="str">
        <x:v>OpenAlex S3,S5; title+abstract</x:v>
      </x:c>
      <x:c r="D87" s="63" t="str">
        <x:v>Database abstract available</x:v>
      </x:c>
      <x:c r="E87" s="63" t="str">
        <x:v>transferable search-control mechanism</x:v>
      </x:c>
      <x:c r="F87" s="63" t="str">
        <x:v>routing/transport</x:v>
      </x:c>
      <x:c r="G87" s="63" t="str">
        <x:v>neighborhood/operator/heuristic selection</x:v>
      </x:c>
      <x:c r="H87" s="63" t="str">
        <x:v>problem entities not yet extracted</x:v>
      </x:c>
      <x:c r="I87" s="63" t="str">
        <x:v>Pending full-text extraction</x:v>
      </x:c>
      <x:c r="J87" s="63" t="str">
        <x:v>Pending full-text extraction</x:v>
      </x:c>
      <x:c r="K87" s="63" t="str">
        <x:v>Pending full-text extraction</x:v>
      </x:c>
      <x:c r="L87" s="63" t="str">
        <x:v>Pending full-text extraction</x:v>
      </x:c>
      <x:c r="M87" s="63" t="str">
        <x:v>routing/transport</x:v>
      </x:c>
      <x:c r="N87" s="63" t="str">
        <x:v>dynamic/online</x:v>
      </x:c>
      <x:c r="O87" s="63" t="str"/>
      <x:c r="P87" s="63" t="str"/>
      <x:c r="Q87" s="63" t="str"/>
      <x:c r="R87" s="63" t="str"/>
      <x:c r="S87" s="63" t="str"/>
      <x:c r="T87" s="63" t="str"/>
      <x:c r="U87" s="63" t="str">
        <x:v>mechanism-transfer candidate</x:v>
      </x:c>
      <x:c r="V87" s="63" t="str">
        <x:v>adaptive operator selection</x:v>
      </x:c>
      <x:c r="W87" s="63" t="str"/>
      <x:c r="X87" s="63" t="str">
        <x:v>Frozen-query match: S3; source queries: S3,S5</x:v>
      </x:c>
      <x:c r="Y87" s="63" t="str"/>
      <x:c r="Z87" s="63" t="str"/>
      <x:c r="AA87" s="63" t="str"/>
      <x:c r="AB87" s="63" t="str"/>
      <x:c r="AC87" s="63" t="str"/>
      <x:c r="AD87" s="63" t="str"/>
      <x:c r="AE87" s="63" t="str"/>
      <x:c r="AF87" s="63" t="str"/>
      <x:c r="AG87" s="63" t="str"/>
      <x:c r="AH87" s="63" t="str"/>
      <x:c r="AI87" s="63" t="str"/>
      <x:c r="AJ87" s="63" t="str"/>
      <x:c r="AK87" s="63" t="str"/>
      <x:c r="AL87" s="63" t="str"/>
      <x:c r="AM87" s="63" t="str"/>
      <x:c r="AN87" s="63" t="str"/>
      <x:c r="AO87" s="63" t="str"/>
      <x:c r="AP87" s="63" t="str"/>
      <x:c r="AQ87" s="63" t="str"/>
      <x:c r="AR87" s="63" t="str"/>
      <x:c r="AS87" s="63" t="str"/>
      <x:c r="AT87" s="63" t="str">
        <x:v>Hyper-heuristics are search methodologies that aim to provide high-quality solutions across a wide variety of problem domains, rather than developing tailor-made methodologies for each problem instance/domain. A traditional hyper-heuristic framework has two levels, namely, the high level strategy (heuristic selection mechanism and the acceptance criterion) and low level heuristics (a set of problem specific heuristics). Due to the different landscape structures of different problem instances, the high level strategy plays an important role in the design of a hyper-heuristic framework. In this </x:v>
      </x:c>
      <x:c r="AU87" s="63" t="str">
        <x:v>No full-text direct evidence extracted in step 4.</x:v>
      </x:c>
      <x:c r="AV87" s="63" t="str">
        <x:v>Preliminary relevance inference: meets all concept groups for S3.</x:v>
      </x:c>
      <x:c r="AW87" s="63" t="str">
        <x:v>Title/abstract screening cannot establish implementation identity, novelty, or performance comparability.</x:v>
      </x:c>
      <x:c r="AX87" s="63" t="str">
        <x:v>Verify original full text, method details, experimental budget, and six comparability dimensions.</x:v>
      </x:c>
      <x:c r="AY87" s="63" t="str">
        <x:v>unresolved</x:v>
      </x:c>
      <x:c r="AZ87" s="63" t="str">
        <x:v>indirect</x:v>
      </x:c>
      <x:c r="BA87" s="63" t="str">
        <x:v>Title/abstract screened; full-text pending</x:v>
      </x:c>
      <x:c r="BB87" s="63">
        <x:f>IF(COUNTA(B87:BC87)=0,"",IF(A87="","MISSING ID",IFERROR(IF(AND(LEFT(A87,1)="L",ISNUMBER(SEARCH("-E",A87))),"OK","CHECK ID"),"CHECK ID")))</x:f>
      </x:c>
    </x:row>
    <x:row r="88" ht="48" customHeight="1">
      <x:c r="A88" s="62" t="str">
        <x:v>L112-E01</x:v>
      </x:c>
      <x:c r="B88" s="62" t="str">
        <x:v>L112</x:v>
      </x:c>
      <x:c r="C88" s="62" t="str">
        <x:v>arXiv S4; title+abstract</x:v>
      </x:c>
      <x:c r="D88" s="62" t="str">
        <x:v>Database abstract available</x:v>
      </x:c>
      <x:c r="E88" s="62" t="str">
        <x:v>transferable search-control mechanism</x:v>
      </x:c>
      <x:c r="F88" s="62" t="str">
        <x:v>cross-domain optimization</x:v>
      </x:c>
      <x:c r="G88" s="62" t="str">
        <x:v>search intensity, neighborhood size, or computational budget</x:v>
      </x:c>
      <x:c r="H88" s="62" t="str">
        <x:v>problem entities not yet extracted</x:v>
      </x:c>
      <x:c r="I88" s="62" t="str">
        <x:v>Pending full-text extraction</x:v>
      </x:c>
      <x:c r="J88" s="62" t="str">
        <x:v>Pending full-text extraction</x:v>
      </x:c>
      <x:c r="K88" s="62" t="str">
        <x:v>Pending full-text extraction</x:v>
      </x:c>
      <x:c r="L88" s="62" t="str">
        <x:v>Pending full-text extraction</x:v>
      </x:c>
      <x:c r="M88" s="62" t="str">
        <x:v>cross-domain optimization</x:v>
      </x:c>
      <x:c r="N88" s="62" t="str">
        <x:v>dynamic/online</x:v>
      </x:c>
      <x:c r="O88" s="62" t="str"/>
      <x:c r="P88" s="62" t="str"/>
      <x:c r="Q88" s="62" t="str"/>
      <x:c r="R88" s="62" t="str"/>
      <x:c r="S88" s="62" t="str"/>
      <x:c r="T88" s="62" t="str"/>
      <x:c r="U88" s="62" t="str">
        <x:v>mechanism-transfer candidate</x:v>
      </x:c>
      <x:c r="V88" s="62" t="str">
        <x:v>adaptive search control</x:v>
      </x:c>
      <x:c r="W88" s="62" t="str"/>
      <x:c r="X88" s="62" t="str">
        <x:v>Frozen-query match: S4; source queries: S4</x:v>
      </x:c>
      <x:c r="Y88" s="62" t="str"/>
      <x:c r="Z88" s="62" t="str"/>
      <x:c r="AA88" s="62" t="str"/>
      <x:c r="AB88" s="62" t="str"/>
      <x:c r="AC88" s="62" t="str"/>
      <x:c r="AD88" s="62" t="str"/>
      <x:c r="AE88" s="62" t="str"/>
      <x:c r="AF88" s="62" t="str"/>
      <x:c r="AG88" s="62" t="str"/>
      <x:c r="AH88" s="62" t="str"/>
      <x:c r="AI88" s="62" t="str"/>
      <x:c r="AJ88" s="62" t="str"/>
      <x:c r="AK88" s="62" t="str"/>
      <x:c r="AL88" s="62" t="str"/>
      <x:c r="AM88" s="62" t="str"/>
      <x:c r="AN88" s="62" t="str"/>
      <x:c r="AO88" s="62" t="str"/>
      <x:c r="AP88" s="62" t="str"/>
      <x:c r="AQ88" s="62" t="str"/>
      <x:c r="AR88" s="62" t="str"/>
      <x:c r="AS88" s="62" t="str"/>
      <x:c r="AT88" s="62" t="str">
        <x:v>Local search algorithms applied to optimization problems often suffer from getting trapped in a local optimum. The common solution for this deficiency is to restart the algorithm when no progress is observed. Alternatively, one can start multiple instances of a local search algorithm, and allocate computational resources (in particular, processing time) to the instances depending on their behavior. Hence, a multi-start strategy has to decide (dynamically) when to allocate additional resources to a particular instance and when to start new instances. In this paper we propose multi-start strateg</x:v>
      </x:c>
      <x:c r="AU88" s="62" t="str">
        <x:v>No full-text direct evidence extracted in step 4.</x:v>
      </x:c>
      <x:c r="AV88" s="62" t="str">
        <x:v>Preliminary relevance inference: meets all concept groups for S4.</x:v>
      </x:c>
      <x:c r="AW88" s="62" t="str">
        <x:v>Title/abstract screening cannot establish implementation identity, novelty, or performance comparability.</x:v>
      </x:c>
      <x:c r="AX88" s="62" t="str">
        <x:v>Verify original full text, method details, experimental budget, and six comparability dimensions.</x:v>
      </x:c>
      <x:c r="AY88" s="62" t="str">
        <x:v>unresolved</x:v>
      </x:c>
      <x:c r="AZ88" s="62" t="str">
        <x:v>indirect</x:v>
      </x:c>
      <x:c r="BA88" s="62" t="str">
        <x:v>Title/abstract screened; full-text pending</x:v>
      </x:c>
      <x:c r="BB88" s="62">
        <x:f>IF(COUNTA(B88:BC88)=0,"",IF(A88="","MISSING ID",IFERROR(IF(AND(LEFT(A88,1)="L",ISNUMBER(SEARCH("-E",A88))),"OK","CHECK ID"),"CHECK ID")))</x:f>
      </x:c>
    </x:row>
    <x:row r="89" ht="48" customHeight="1">
      <x:c r="A89" s="63" t="str">
        <x:v>L113-E01</x:v>
      </x:c>
      <x:c r="B89" s="63" t="str">
        <x:v>L113</x:v>
      </x:c>
      <x:c r="C89" s="63" t="str">
        <x:v>OpenAlex S4; title+abstract</x:v>
      </x:c>
      <x:c r="D89" s="63" t="str">
        <x:v>Database abstract available</x:v>
      </x:c>
      <x:c r="E89" s="63" t="str">
        <x:v>shop scheduling mechanism</x:v>
      </x:c>
      <x:c r="F89" s="63" t="str">
        <x:v>workshop</x:v>
      </x:c>
      <x:c r="G89" s="63" t="str">
        <x:v>search intensity, neighborhood size, or computational budget</x:v>
      </x:c>
      <x:c r="H89" s="63" t="str">
        <x:v>problem entities not yet extracted</x:v>
      </x:c>
      <x:c r="I89" s="63" t="str">
        <x:v>Pending full-text extraction</x:v>
      </x:c>
      <x:c r="J89" s="63" t="str">
        <x:v>Pending full-text extraction</x:v>
      </x:c>
      <x:c r="K89" s="63" t="str">
        <x:v>Pending full-text extraction</x:v>
      </x:c>
      <x:c r="L89" s="63" t="str">
        <x:v>Pending full-text extraction</x:v>
      </x:c>
      <x:c r="M89" s="63" t="str">
        <x:v>workshop</x:v>
      </x:c>
      <x:c r="N89" s="63" t="str">
        <x:v>dynamic/online</x:v>
      </x:c>
      <x:c r="O89" s="63" t="str"/>
      <x:c r="P89" s="63" t="str"/>
      <x:c r="Q89" s="63" t="str"/>
      <x:c r="R89" s="63" t="str"/>
      <x:c r="S89" s="63" t="str"/>
      <x:c r="T89" s="63" t="str"/>
      <x:c r="U89" s="63" t="str">
        <x:v>mechanism-transfer candidate</x:v>
      </x:c>
      <x:c r="V89" s="63" t="str">
        <x:v>adaptive search control</x:v>
      </x:c>
      <x:c r="W89" s="63" t="str"/>
      <x:c r="X89" s="63" t="str">
        <x:v>Frozen-query match: S4; source queries: S4</x:v>
      </x:c>
      <x:c r="Y89" s="63" t="str"/>
      <x:c r="Z89" s="63" t="str"/>
      <x:c r="AA89" s="63" t="str"/>
      <x:c r="AB89" s="63" t="str"/>
      <x:c r="AC89" s="63" t="str"/>
      <x:c r="AD89" s="63" t="str"/>
      <x:c r="AE89" s="63" t="str"/>
      <x:c r="AF89" s="63" t="str"/>
      <x:c r="AG89" s="63" t="str"/>
      <x:c r="AH89" s="63" t="str"/>
      <x:c r="AI89" s="63" t="str"/>
      <x:c r="AJ89" s="63" t="str"/>
      <x:c r="AK89" s="63" t="str"/>
      <x:c r="AL89" s="63" t="str"/>
      <x:c r="AM89" s="63" t="str"/>
      <x:c r="AN89" s="63" t="str"/>
      <x:c r="AO89" s="63" t="str"/>
      <x:c r="AP89" s="63" t="str"/>
      <x:c r="AQ89" s="63" t="str"/>
      <x:c r="AR89" s="63" t="str"/>
      <x:c r="AS89" s="63" t="str"/>
      <x:c r="AT89" s="63" t="str">
        <x:v>Dispatching rules are frequently used for real-time, online scheduling in complex manufacturing systems. Design of such rules is usually done by experts in a time consuming trial-and-error process. Recently, evolutionary algorithms have been proposed to automate the design process. There are several possibilities to represent rules for this hyper-heuristic search. Because the representation determines the search neighborhood and the complexity of the rules that can be evolved, a suitable choice of representation is key for a successful evolutionary algorithm. In this paper we empirically compa</x:v>
      </x:c>
      <x:c r="AU89" s="63" t="str">
        <x:v>No full-text direct evidence extracted in step 4.</x:v>
      </x:c>
      <x:c r="AV89" s="63" t="str">
        <x:v>Preliminary relevance inference: meets all concept groups for S4.</x:v>
      </x:c>
      <x:c r="AW89" s="63" t="str">
        <x:v>Title/abstract screening cannot establish implementation identity, novelty, or performance comparability.</x:v>
      </x:c>
      <x:c r="AX89" s="63" t="str">
        <x:v>Verify original full text, method details, experimental budget, and six comparability dimensions.</x:v>
      </x:c>
      <x:c r="AY89" s="63" t="str">
        <x:v>unresolved</x:v>
      </x:c>
      <x:c r="AZ89" s="63" t="str">
        <x:v>indirect</x:v>
      </x:c>
      <x:c r="BA89" s="63" t="str">
        <x:v>Title/abstract screened; full-text pending</x:v>
      </x:c>
      <x:c r="BB89" s="63">
        <x:f>IF(COUNTA(B89:BC89)=0,"",IF(A89="","MISSING ID",IFERROR(IF(AND(LEFT(A89,1)="L",ISNUMBER(SEARCH("-E",A89))),"OK","CHECK ID"),"CHECK ID")))</x:f>
      </x:c>
    </x:row>
    <x:row r="90" ht="48" customHeight="1">
      <x:c r="A90" s="62" t="str">
        <x:v>L114-E01</x:v>
      </x:c>
      <x:c r="B90" s="62" t="str">
        <x:v>L114</x:v>
      </x:c>
      <x:c r="C90" s="62" t="str">
        <x:v>OpenAlex S2; title+abstract</x:v>
      </x:c>
      <x:c r="D90" s="62" t="str">
        <x:v>Database abstract available</x:v>
      </x:c>
      <x:c r="E90" s="62" t="str">
        <x:v>shop scheduling mechanism</x:v>
      </x:c>
      <x:c r="F90" s="62" t="str">
        <x:v>workshop</x:v>
      </x:c>
      <x:c r="G90" s="62" t="str">
        <x:v>critical/bottleneck region or local-search move</x:v>
      </x:c>
      <x:c r="H90" s="62" t="str">
        <x:v>problem entities not yet extracted</x:v>
      </x:c>
      <x:c r="I90" s="62" t="str">
        <x:v>Pending full-text extraction</x:v>
      </x:c>
      <x:c r="J90" s="62" t="str">
        <x:v>Pending full-text extraction</x:v>
      </x:c>
      <x:c r="K90" s="62" t="str">
        <x:v>Pending full-text extraction</x:v>
      </x:c>
      <x:c r="L90" s="62" t="str">
        <x:v>Pending full-text extraction</x:v>
      </x:c>
      <x:c r="M90" s="62" t="str">
        <x:v>workshop</x:v>
      </x:c>
      <x:c r="N90" s="62" t="str">
        <x:v>static/offline or not stated</x:v>
      </x:c>
      <x:c r="O90" s="62" t="str"/>
      <x:c r="P90" s="62" t="str"/>
      <x:c r="Q90" s="62" t="str"/>
      <x:c r="R90" s="62" t="str"/>
      <x:c r="S90" s="62" t="str"/>
      <x:c r="T90" s="62" t="str"/>
      <x:c r="U90" s="62" t="str">
        <x:v>mechanism-transfer candidate</x:v>
      </x:c>
      <x:c r="V90" s="62" t="str">
        <x:v>scheduling/metaheuristic</x:v>
      </x:c>
      <x:c r="W90" s="62" t="str"/>
      <x:c r="X90" s="62" t="str">
        <x:v>Frozen-query match: S2; source queries: S2</x:v>
      </x:c>
      <x:c r="Y90" s="62" t="str"/>
      <x:c r="Z90" s="62" t="str"/>
      <x:c r="AA90" s="62" t="str"/>
      <x:c r="AB90" s="62" t="str"/>
      <x:c r="AC90" s="62" t="str"/>
      <x:c r="AD90" s="62" t="str"/>
      <x:c r="AE90" s="62" t="str"/>
      <x:c r="AF90" s="62" t="str"/>
      <x:c r="AG90" s="62" t="str"/>
      <x:c r="AH90" s="62" t="str"/>
      <x:c r="AI90" s="62" t="str"/>
      <x:c r="AJ90" s="62" t="str"/>
      <x:c r="AK90" s="62" t="str"/>
      <x:c r="AL90" s="62" t="str"/>
      <x:c r="AM90" s="62" t="str"/>
      <x:c r="AN90" s="62" t="str"/>
      <x:c r="AO90" s="62" t="str"/>
      <x:c r="AP90" s="62" t="str"/>
      <x:c r="AQ90" s="62" t="str"/>
      <x:c r="AR90" s="62" t="str"/>
      <x:c r="AS90" s="62" t="str"/>
      <x:c r="AT90" s="62" t="str">
        <x:v>To solve the multi-objective flexible job-shop problem (MFJSP), an effective Pareto-based estimation of distribution algorithm (P-EDA) is proposed. The fitness evaluation based on Pareto optimality is employed and a probability model is built with the Pareto superior individuals for estimating the probability distribution of the solution space. In addition, a mechanism to update the probability model is proposed, and the new individuals are generated by sampling the promising searching region based on the probability model. To avoid premature convergence and enhance local exploitation, the pop</x:v>
      </x:c>
      <x:c r="AU90" s="62" t="str">
        <x:v>No full-text direct evidence extracted in step 4.</x:v>
      </x:c>
      <x:c r="AV90" s="62" t="str">
        <x:v>Preliminary relevance inference: meets all concept groups for S2.</x:v>
      </x:c>
      <x:c r="AW90" s="62" t="str">
        <x:v>Title/abstract screening cannot establish implementation identity, novelty, or performance comparability.</x:v>
      </x:c>
      <x:c r="AX90" s="62" t="str">
        <x:v>Verify original full text, method details, experimental budget, and six comparability dimensions.</x:v>
      </x:c>
      <x:c r="AY90" s="62" t="str">
        <x:v>unresolved</x:v>
      </x:c>
      <x:c r="AZ90" s="62" t="str">
        <x:v>indirect</x:v>
      </x:c>
      <x:c r="BA90" s="62" t="str">
        <x:v>Title/abstract screened; full-text pending</x:v>
      </x:c>
      <x:c r="BB90" s="62">
        <x:f>IF(COUNTA(B90:BC90)=0,"",IF(A90="","MISSING ID",IFERROR(IF(AND(LEFT(A90,1)="L",ISNUMBER(SEARCH("-E",A90))),"OK","CHECK ID"),"CHECK ID")))</x:f>
      </x:c>
    </x:row>
    <x:row r="91" ht="48" customHeight="1">
      <x:c r="A91" s="63" t="str">
        <x:v>L115-E01</x:v>
      </x:c>
      <x:c r="B91" s="63" t="str">
        <x:v>L115</x:v>
      </x:c>
      <x:c r="C91" s="63" t="str">
        <x:v>OpenAlex S2; title+abstract</x:v>
      </x:c>
      <x:c r="D91" s="63" t="str">
        <x:v>Database abstract available</x:v>
      </x:c>
      <x:c r="E91" s="63" t="str">
        <x:v>shop scheduling mechanism</x:v>
      </x:c>
      <x:c r="F91" s="63" t="str">
        <x:v>workshop</x:v>
      </x:c>
      <x:c r="G91" s="63" t="str">
        <x:v>critical/bottleneck region or local-search move</x:v>
      </x:c>
      <x:c r="H91" s="63" t="str">
        <x:v>problem entities not yet extracted</x:v>
      </x:c>
      <x:c r="I91" s="63" t="str">
        <x:v>Pending full-text extraction</x:v>
      </x:c>
      <x:c r="J91" s="63" t="str">
        <x:v>Pending full-text extraction</x:v>
      </x:c>
      <x:c r="K91" s="63" t="str">
        <x:v>Pending full-text extraction</x:v>
      </x:c>
      <x:c r="L91" s="63" t="str">
        <x:v>Pending full-text extraction</x:v>
      </x:c>
      <x:c r="M91" s="63" t="str">
        <x:v>workshop</x:v>
      </x:c>
      <x:c r="N91" s="63" t="str">
        <x:v>static/offline or not stated</x:v>
      </x:c>
      <x:c r="O91" s="63" t="str"/>
      <x:c r="P91" s="63" t="str"/>
      <x:c r="Q91" s="63" t="str"/>
      <x:c r="R91" s="63" t="str"/>
      <x:c r="S91" s="63" t="str"/>
      <x:c r="T91" s="63" t="str"/>
      <x:c r="U91" s="63" t="str">
        <x:v>mechanism-transfer candidate</x:v>
      </x:c>
      <x:c r="V91" s="63" t="str">
        <x:v>scheduling/metaheuristic</x:v>
      </x:c>
      <x:c r="W91" s="63" t="str"/>
      <x:c r="X91" s="63" t="str">
        <x:v>Frozen-query match: S2; source queries: S2</x:v>
      </x:c>
      <x:c r="Y91" s="63" t="str"/>
      <x:c r="Z91" s="63" t="str"/>
      <x:c r="AA91" s="63" t="str"/>
      <x:c r="AB91" s="63" t="str"/>
      <x:c r="AC91" s="63" t="str"/>
      <x:c r="AD91" s="63" t="str"/>
      <x:c r="AE91" s="63" t="str"/>
      <x:c r="AF91" s="63" t="str"/>
      <x:c r="AG91" s="63" t="str"/>
      <x:c r="AH91" s="63" t="str"/>
      <x:c r="AI91" s="63" t="str"/>
      <x:c r="AJ91" s="63" t="str"/>
      <x:c r="AK91" s="63" t="str"/>
      <x:c r="AL91" s="63" t="str"/>
      <x:c r="AM91" s="63" t="str"/>
      <x:c r="AN91" s="63" t="str"/>
      <x:c r="AO91" s="63" t="str"/>
      <x:c r="AP91" s="63" t="str"/>
      <x:c r="AQ91" s="63" t="str"/>
      <x:c r="AR91" s="63" t="str"/>
      <x:c r="AS91" s="63" t="str"/>
      <x:c r="AT91" s="63" t="str">
        <x:v>This paper addresses multiobjective flexible job‐shop scheduling problem (FJSP) with three simultaneously considered objectives: minimizing makespan, minimizing total workload, and minimizing maximal workload. A hybrid multiobjective evolutionary approach (H‐MOEA) is developed to solve the problem. According to the characteristic of FJSP, a modified crowding distance measure is introduced to maintain the diversity of individuals. In the proposed H‐MOEA, well‐designed chromosome representation and genetic operators are developed for FJSP. Moreover, a local search procedure based on critical pat</x:v>
      </x:c>
      <x:c r="AU91" s="63" t="str">
        <x:v>No full-text direct evidence extracted in step 4.</x:v>
      </x:c>
      <x:c r="AV91" s="63" t="str">
        <x:v>Preliminary relevance inference: meets all concept groups for S2.</x:v>
      </x:c>
      <x:c r="AW91" s="63" t="str">
        <x:v>Title/abstract screening cannot establish implementation identity, novelty, or performance comparability.</x:v>
      </x:c>
      <x:c r="AX91" s="63" t="str">
        <x:v>Verify original full text, method details, experimental budget, and six comparability dimensions.</x:v>
      </x:c>
      <x:c r="AY91" s="63" t="str">
        <x:v>unresolved</x:v>
      </x:c>
      <x:c r="AZ91" s="63" t="str">
        <x:v>indirect</x:v>
      </x:c>
      <x:c r="BA91" s="63" t="str">
        <x:v>Title/abstract screened; full-text pending</x:v>
      </x:c>
      <x:c r="BB91" s="63">
        <x:f>IF(COUNTA(B91:BC91)=0,"",IF(A91="","MISSING ID",IFERROR(IF(AND(LEFT(A91,1)="L",ISNUMBER(SEARCH("-E",A91))),"OK","CHECK ID"),"CHECK ID")))</x:f>
      </x:c>
    </x:row>
    <x:row r="92" ht="48" customHeight="1">
      <x:c r="A92" s="62" t="str">
        <x:v>L116-E01</x:v>
      </x:c>
      <x:c r="B92" s="62" t="str">
        <x:v>L116</x:v>
      </x:c>
      <x:c r="C92" s="62" t="str">
        <x:v>OpenAlex S4; title+abstract</x:v>
      </x:c>
      <x:c r="D92" s="62" t="str">
        <x:v>Database abstract available</x:v>
      </x:c>
      <x:c r="E92" s="62" t="str">
        <x:v>shop scheduling mechanism</x:v>
      </x:c>
      <x:c r="F92" s="62" t="str">
        <x:v>workshop</x:v>
      </x:c>
      <x:c r="G92" s="62" t="str">
        <x:v>neighborhood/operator/heuristic selection</x:v>
      </x:c>
      <x:c r="H92" s="62" t="str">
        <x:v>problem entities not yet extracted</x:v>
      </x:c>
      <x:c r="I92" s="62" t="str">
        <x:v>Pending full-text extraction</x:v>
      </x:c>
      <x:c r="J92" s="62" t="str">
        <x:v>Pending full-text extraction</x:v>
      </x:c>
      <x:c r="K92" s="62" t="str">
        <x:v>Pending full-text extraction</x:v>
      </x:c>
      <x:c r="L92" s="62" t="str">
        <x:v>Pending full-text extraction</x:v>
      </x:c>
      <x:c r="M92" s="62" t="str">
        <x:v>workshop</x:v>
      </x:c>
      <x:c r="N92" s="62" t="str">
        <x:v>dynamic/online</x:v>
      </x:c>
      <x:c r="O92" s="62" t="str"/>
      <x:c r="P92" s="62" t="str"/>
      <x:c r="Q92" s="62" t="str"/>
      <x:c r="R92" s="62" t="str"/>
      <x:c r="S92" s="62" t="str"/>
      <x:c r="T92" s="62" t="str"/>
      <x:c r="U92" s="62" t="str">
        <x:v>mechanism-transfer candidate</x:v>
      </x:c>
      <x:c r="V92" s="62" t="str">
        <x:v>adaptive operator selection</x:v>
      </x:c>
      <x:c r="W92" s="62" t="str"/>
      <x:c r="X92" s="62" t="str">
        <x:v>Frozen-query match: S3,S4; source queries: S4</x:v>
      </x:c>
      <x:c r="Y92" s="62" t="str"/>
      <x:c r="Z92" s="62" t="str"/>
      <x:c r="AA92" s="62" t="str"/>
      <x:c r="AB92" s="62" t="str"/>
      <x:c r="AC92" s="62" t="str"/>
      <x:c r="AD92" s="62" t="str"/>
      <x:c r="AE92" s="62" t="str"/>
      <x:c r="AF92" s="62" t="str"/>
      <x:c r="AG92" s="62" t="str"/>
      <x:c r="AH92" s="62" t="str"/>
      <x:c r="AI92" s="62" t="str"/>
      <x:c r="AJ92" s="62" t="str"/>
      <x:c r="AK92" s="62" t="str"/>
      <x:c r="AL92" s="62" t="str"/>
      <x:c r="AM92" s="62" t="str"/>
      <x:c r="AN92" s="62" t="str"/>
      <x:c r="AO92" s="62" t="str"/>
      <x:c r="AP92" s="62" t="str"/>
      <x:c r="AQ92" s="62" t="str"/>
      <x:c r="AR92" s="62" t="str"/>
      <x:c r="AS92" s="62" t="str"/>
      <x:c r="AT92" s="62" t="str">
        <x:v>Hyper-heuristics solve problems by manipulating low-level domain-specific heuristics. The aim is to raise the level of generality of the algorithm to solve problems in different domains. In this paper we propose a hyper-heuristic based on Variable Neighborhood Search (VNS), which consists of two main steps: shaking and local search. Shaking disturbs solutions, and then local search seeks for the local optima. In our algorithm, we propose a mechanism to adjust the computational budget of local search periodically based on the search status. We also use a dynamically-sized population to store go</x:v>
      </x:c>
      <x:c r="AU92" s="62" t="str">
        <x:v>No full-text direct evidence extracted in step 4.</x:v>
      </x:c>
      <x:c r="AV92" s="62" t="str">
        <x:v>Preliminary relevance inference: meets all concept groups for S3, S4.</x:v>
      </x:c>
      <x:c r="AW92" s="62" t="str">
        <x:v>Title/abstract screening cannot establish implementation identity, novelty, or performance comparability.</x:v>
      </x:c>
      <x:c r="AX92" s="62" t="str">
        <x:v>Verify original full text, method details, experimental budget, and six comparability dimensions.</x:v>
      </x:c>
      <x:c r="AY92" s="62" t="str">
        <x:v>unresolved</x:v>
      </x:c>
      <x:c r="AZ92" s="62" t="str">
        <x:v>indirect</x:v>
      </x:c>
      <x:c r="BA92" s="62" t="str">
        <x:v>Title/abstract screened; full-text pending</x:v>
      </x:c>
      <x:c r="BB92" s="62">
        <x:f>IF(COUNTA(B92:BC92)=0,"",IF(A92="","MISSING ID",IFERROR(IF(AND(LEFT(A92,1)="L",ISNUMBER(SEARCH("-E",A92))),"OK","CHECK ID"),"CHECK ID")))</x:f>
      </x:c>
    </x:row>
    <x:row r="93" ht="48" customHeight="1">
      <x:c r="A93" s="63" t="str">
        <x:v>L117-E01</x:v>
      </x:c>
      <x:c r="B93" s="63" t="str">
        <x:v>L117</x:v>
      </x:c>
      <x:c r="C93" s="63" t="str">
        <x:v>OpenAlex-S6-trace S6; title+abstract</x:v>
      </x:c>
      <x:c r="D93" s="63" t="str">
        <x:v>Database abstract available</x:v>
      </x:c>
      <x:c r="E93" s="63" t="str">
        <x:v>shop scheduling mechanism</x:v>
      </x:c>
      <x:c r="F93" s="63" t="str">
        <x:v>workshop</x:v>
      </x:c>
      <x:c r="G93" s="63" t="str">
        <x:v>critical/bottleneck region or local-search move</x:v>
      </x:c>
      <x:c r="H93" s="63" t="str">
        <x:v>problem entities not yet extracted</x:v>
      </x:c>
      <x:c r="I93" s="63" t="str">
        <x:v>Pending full-text extraction</x:v>
      </x:c>
      <x:c r="J93" s="63" t="str">
        <x:v>Pending full-text extraction</x:v>
      </x:c>
      <x:c r="K93" s="63" t="str">
        <x:v>Pending full-text extraction</x:v>
      </x:c>
      <x:c r="L93" s="63" t="str">
        <x:v>Pending full-text extraction</x:v>
      </x:c>
      <x:c r="M93" s="63" t="str">
        <x:v>workshop</x:v>
      </x:c>
      <x:c r="N93" s="63" t="str">
        <x:v>dynamic/online</x:v>
      </x:c>
      <x:c r="O93" s="63" t="str"/>
      <x:c r="P93" s="63" t="str"/>
      <x:c r="Q93" s="63" t="str"/>
      <x:c r="R93" s="63" t="str"/>
      <x:c r="S93" s="63" t="str"/>
      <x:c r="T93" s="63" t="str"/>
      <x:c r="U93" s="63" t="str">
        <x:v>mechanism-transfer candidate</x:v>
      </x:c>
      <x:c r="V93" s="63" t="str">
        <x:v>scheduling/metaheuristic</x:v>
      </x:c>
      <x:c r="W93" s="63" t="str"/>
      <x:c r="X93" s="63" t="str">
        <x:v>Frozen-query match: S2; source queries: S6</x:v>
      </x:c>
      <x:c r="Y93" s="63" t="str"/>
      <x:c r="Z93" s="63" t="str"/>
      <x:c r="AA93" s="63" t="str"/>
      <x:c r="AB93" s="63" t="str"/>
      <x:c r="AC93" s="63" t="str"/>
      <x:c r="AD93" s="63" t="str"/>
      <x:c r="AE93" s="63" t="str"/>
      <x:c r="AF93" s="63" t="str"/>
      <x:c r="AG93" s="63" t="str"/>
      <x:c r="AH93" s="63" t="str"/>
      <x:c r="AI93" s="63" t="str"/>
      <x:c r="AJ93" s="63" t="str"/>
      <x:c r="AK93" s="63" t="str"/>
      <x:c r="AL93" s="63" t="str"/>
      <x:c r="AM93" s="63" t="str"/>
      <x:c r="AN93" s="63" t="str"/>
      <x:c r="AO93" s="63" t="str"/>
      <x:c r="AP93" s="63" t="str"/>
      <x:c r="AQ93" s="63" t="str"/>
      <x:c r="AR93" s="63" t="str"/>
      <x:c r="AS93" s="63" t="str"/>
      <x:c r="AT93" s="63" t="str">
        <x:v>We suggest an extension of the shifting bottleneck heuristic for complex job shops that takes the operations of automated material-handling systems (AMHS) into account. The heuristic is used within a rolling horizon approach. The job-shop environment contains parallel batching machines, machines with sequence-dependent setup times, and re-entrant process flows. Jobs are transported by an AMHS. Semiconductor wafer fabrication facilities (wafer fabs) are typical examples for manufacturing systems with these characteristics. Our primary performance measure is total weighted tardiness (TWT). The s</x:v>
      </x:c>
      <x:c r="AU93" s="63" t="str">
        <x:v>No full-text direct evidence extracted in step 4.</x:v>
      </x:c>
      <x:c r="AV93" s="63" t="str">
        <x:v>Preliminary relevance inference: meets all concept groups for S2.</x:v>
      </x:c>
      <x:c r="AW93" s="63" t="str">
        <x:v>Title/abstract screening cannot establish implementation identity, novelty, or performance comparability.</x:v>
      </x:c>
      <x:c r="AX93" s="63" t="str">
        <x:v>Verify original full text, method details, experimental budget, and six comparability dimensions.</x:v>
      </x:c>
      <x:c r="AY93" s="63" t="str">
        <x:v>unresolved</x:v>
      </x:c>
      <x:c r="AZ93" s="63" t="str">
        <x:v>indirect</x:v>
      </x:c>
      <x:c r="BA93" s="63" t="str">
        <x:v>Title/abstract screened; full-text pending</x:v>
      </x:c>
      <x:c r="BB93" s="63">
        <x:f>IF(COUNTA(B93:BC93)=0,"",IF(A93="","MISSING ID",IFERROR(IF(AND(LEFT(A93,1)="L",ISNUMBER(SEARCH("-E",A93))),"OK","CHECK ID"),"CHECK ID")))</x:f>
      </x:c>
    </x:row>
    <x:row r="94" ht="48" customHeight="1">
      <x:c r="A94" s="62" t="str">
        <x:v>L118-E01</x:v>
      </x:c>
      <x:c r="B94" s="62" t="str">
        <x:v>L118</x:v>
      </x:c>
      <x:c r="C94" s="62" t="str">
        <x:v>arXiv S2; title+abstract</x:v>
      </x:c>
      <x:c r="D94" s="62" t="str">
        <x:v>Database abstract available</x:v>
      </x:c>
      <x:c r="E94" s="62" t="str">
        <x:v>shop scheduling mechanism</x:v>
      </x:c>
      <x:c r="F94" s="62" t="str">
        <x:v>workshop</x:v>
      </x:c>
      <x:c r="G94" s="62" t="str">
        <x:v>critical/bottleneck region or local-search move</x:v>
      </x:c>
      <x:c r="H94" s="62" t="str">
        <x:v>problem entities not yet extracted</x:v>
      </x:c>
      <x:c r="I94" s="62" t="str">
        <x:v>Pending full-text extraction</x:v>
      </x:c>
      <x:c r="J94" s="62" t="str">
        <x:v>Pending full-text extraction</x:v>
      </x:c>
      <x:c r="K94" s="62" t="str">
        <x:v>Pending full-text extraction</x:v>
      </x:c>
      <x:c r="L94" s="62" t="str">
        <x:v>Pending full-text extraction</x:v>
      </x:c>
      <x:c r="M94" s="62" t="str">
        <x:v>workshop</x:v>
      </x:c>
      <x:c r="N94" s="62" t="str">
        <x:v>static/offline or not stated</x:v>
      </x:c>
      <x:c r="O94" s="62" t="str"/>
      <x:c r="P94" s="62" t="str"/>
      <x:c r="Q94" s="62" t="str"/>
      <x:c r="R94" s="62" t="str"/>
      <x:c r="S94" s="62" t="str"/>
      <x:c r="T94" s="62" t="str"/>
      <x:c r="U94" s="62" t="str">
        <x:v>mechanism-transfer candidate</x:v>
      </x:c>
      <x:c r="V94" s="62" t="str">
        <x:v>scheduling/metaheuristic</x:v>
      </x:c>
      <x:c r="W94" s="62" t="str"/>
      <x:c r="X94" s="62" t="str">
        <x:v>Frozen-query match: S2; source queries: S2</x:v>
      </x:c>
      <x:c r="Y94" s="62" t="str"/>
      <x:c r="Z94" s="62" t="str"/>
      <x:c r="AA94" s="62" t="str"/>
      <x:c r="AB94" s="62" t="str"/>
      <x:c r="AC94" s="62" t="str"/>
      <x:c r="AD94" s="62" t="str"/>
      <x:c r="AE94" s="62" t="str"/>
      <x:c r="AF94" s="62" t="str"/>
      <x:c r="AG94" s="62" t="str"/>
      <x:c r="AH94" s="62" t="str"/>
      <x:c r="AI94" s="62" t="str"/>
      <x:c r="AJ94" s="62" t="str"/>
      <x:c r="AK94" s="62" t="str"/>
      <x:c r="AL94" s="62" t="str"/>
      <x:c r="AM94" s="62" t="str"/>
      <x:c r="AN94" s="62" t="str"/>
      <x:c r="AO94" s="62" t="str"/>
      <x:c r="AP94" s="62" t="str"/>
      <x:c r="AQ94" s="62" t="str"/>
      <x:c r="AR94" s="62" t="str"/>
      <x:c r="AS94" s="62" t="str"/>
      <x:c r="AT94" s="62" t="str">
        <x:v>The article describes the proposition and application of a local search metaheuristic for multi-objective optimization problems. It is based on two main principles of heuristic search, intensification through variable neighborhoods, and diversification through perturbations and successive iterations in favorable regions of the search space. The concept is successfully tested on permutation flow shop scheduling problems under multiple objectives and compared to other local search approaches. While the obtained results are encouraging in terms of their quality, another positive attribute of the </x:v>
      </x:c>
      <x:c r="AU94" s="62" t="str">
        <x:v>No full-text direct evidence extracted in step 4.</x:v>
      </x:c>
      <x:c r="AV94" s="62" t="str">
        <x:v>Preliminary relevance inference: meets all concept groups for S2.</x:v>
      </x:c>
      <x:c r="AW94" s="62" t="str">
        <x:v>Title/abstract screening cannot establish implementation identity, novelty, or performance comparability.</x:v>
      </x:c>
      <x:c r="AX94" s="62" t="str">
        <x:v>Verify original full text, method details, experimental budget, and six comparability dimensions.</x:v>
      </x:c>
      <x:c r="AY94" s="62" t="str">
        <x:v>unresolved</x:v>
      </x:c>
      <x:c r="AZ94" s="62" t="str">
        <x:v>indirect</x:v>
      </x:c>
      <x:c r="BA94" s="62" t="str">
        <x:v>Title/abstract screened; full-text pending</x:v>
      </x:c>
      <x:c r="BB94" s="62">
        <x:f>IF(COUNTA(B94:BC94)=0,"",IF(A94="","MISSING ID",IFERROR(IF(AND(LEFT(A94,1)="L",ISNUMBER(SEARCH("-E",A94))),"OK","CHECK ID"),"CHECK ID")))</x:f>
      </x:c>
    </x:row>
    <x:row r="95" ht="48" customHeight="1">
      <x:c r="A95" s="63" t="str">
        <x:v>L119-E01</x:v>
      </x:c>
      <x:c r="B95" s="63" t="str">
        <x:v>L119</x:v>
      </x:c>
      <x:c r="C95" s="63" t="str">
        <x:v>arXiv S2; title+abstract</x:v>
      </x:c>
      <x:c r="D95" s="63" t="str">
        <x:v>Database abstract available</x:v>
      </x:c>
      <x:c r="E95" s="63" t="str">
        <x:v>shop scheduling mechanism</x:v>
      </x:c>
      <x:c r="F95" s="63" t="str">
        <x:v>workshop</x:v>
      </x:c>
      <x:c r="G95" s="63" t="str">
        <x:v>critical/bottleneck region or local-search move</x:v>
      </x:c>
      <x:c r="H95" s="63" t="str">
        <x:v>problem entities not yet extracted</x:v>
      </x:c>
      <x:c r="I95" s="63" t="str">
        <x:v>Pending full-text extraction</x:v>
      </x:c>
      <x:c r="J95" s="63" t="str">
        <x:v>Pending full-text extraction</x:v>
      </x:c>
      <x:c r="K95" s="63" t="str">
        <x:v>Pending full-text extraction</x:v>
      </x:c>
      <x:c r="L95" s="63" t="str">
        <x:v>Pending full-text extraction</x:v>
      </x:c>
      <x:c r="M95" s="63" t="str">
        <x:v>workshop</x:v>
      </x:c>
      <x:c r="N95" s="63" t="str">
        <x:v>static/offline or not stated</x:v>
      </x:c>
      <x:c r="O95" s="63" t="str"/>
      <x:c r="P95" s="63" t="str"/>
      <x:c r="Q95" s="63" t="str"/>
      <x:c r="R95" s="63" t="str"/>
      <x:c r="S95" s="63" t="str"/>
      <x:c r="T95" s="63" t="str"/>
      <x:c r="U95" s="63" t="str">
        <x:v>mechanism-transfer candidate</x:v>
      </x:c>
      <x:c r="V95" s="63" t="str">
        <x:v>scheduling/metaheuristic</x:v>
      </x:c>
      <x:c r="W95" s="63" t="str"/>
      <x:c r="X95" s="63" t="str">
        <x:v>Frozen-query match: S2; source queries: S2</x:v>
      </x:c>
      <x:c r="Y95" s="63" t="str"/>
      <x:c r="Z95" s="63" t="str"/>
      <x:c r="AA95" s="63" t="str"/>
      <x:c r="AB95" s="63" t="str"/>
      <x:c r="AC95" s="63" t="str"/>
      <x:c r="AD95" s="63" t="str"/>
      <x:c r="AE95" s="63" t="str"/>
      <x:c r="AF95" s="63" t="str"/>
      <x:c r="AG95" s="63" t="str"/>
      <x:c r="AH95" s="63" t="str"/>
      <x:c r="AI95" s="63" t="str"/>
      <x:c r="AJ95" s="63" t="str"/>
      <x:c r="AK95" s="63" t="str"/>
      <x:c r="AL95" s="63" t="str"/>
      <x:c r="AM95" s="63" t="str"/>
      <x:c r="AN95" s="63" t="str"/>
      <x:c r="AO95" s="63" t="str"/>
      <x:c r="AP95" s="63" t="str"/>
      <x:c r="AQ95" s="63" t="str"/>
      <x:c r="AR95" s="63" t="str"/>
      <x:c r="AS95" s="63" t="str"/>
      <x:c r="AT95" s="63" t="str">
        <x:v>The paper describes the proposition and application of a local search metaheuristic for multi-objective optimization problems. It is based on two main principles of heuristic search, intensification through variable neighborhoods, and diversification through perturbations and successive iterations in favorable regions of the search space. The concept is successfully tested on permutation flow shop scheduling problems under multiple objectives. While the obtained results are encouraging in terms of their quality, another positive attribute of the approach is its' simplicity as it does require t</x:v>
      </x:c>
      <x:c r="AU95" s="63" t="str">
        <x:v>No full-text direct evidence extracted in step 4.</x:v>
      </x:c>
      <x:c r="AV95" s="63" t="str">
        <x:v>Preliminary relevance inference: meets all concept groups for S2.</x:v>
      </x:c>
      <x:c r="AW95" s="63" t="str">
        <x:v>Title/abstract screening cannot establish implementation identity, novelty, or performance comparability.</x:v>
      </x:c>
      <x:c r="AX95" s="63" t="str">
        <x:v>Verify original full text, method details, experimental budget, and six comparability dimensions.</x:v>
      </x:c>
      <x:c r="AY95" s="63" t="str">
        <x:v>unresolved</x:v>
      </x:c>
      <x:c r="AZ95" s="63" t="str">
        <x:v>indirect</x:v>
      </x:c>
      <x:c r="BA95" s="63" t="str">
        <x:v>Title/abstract screened; full-text pending</x:v>
      </x:c>
      <x:c r="BB95" s="63">
        <x:f>IF(COUNTA(B95:BC95)=0,"",IF(A95="","MISSING ID",IFERROR(IF(AND(LEFT(A95,1)="L",ISNUMBER(SEARCH("-E",A95))),"OK","CHECK ID"),"CHECK ID")))</x:f>
      </x:c>
    </x:row>
    <x:row r="96" ht="48" customHeight="1">
      <x:c r="A96" s="62" t="str">
        <x:v>L120-E01</x:v>
      </x:c>
      <x:c r="B96" s="62" t="str">
        <x:v>L120</x:v>
      </x:c>
      <x:c r="C96" s="62" t="str">
        <x:v>OpenAlex-S6-trace S6; title+abstract</x:v>
      </x:c>
      <x:c r="D96" s="62" t="str">
        <x:v>Database abstract available</x:v>
      </x:c>
      <x:c r="E96" s="62" t="str">
        <x:v>shop scheduling mechanism</x:v>
      </x:c>
      <x:c r="F96" s="62" t="str">
        <x:v>workshop</x:v>
      </x:c>
      <x:c r="G96" s="62" t="str">
        <x:v>critical/bottleneck region or local-search move</x:v>
      </x:c>
      <x:c r="H96" s="62" t="str">
        <x:v>problem entities not yet extracted</x:v>
      </x:c>
      <x:c r="I96" s="62" t="str">
        <x:v>Pending full-text extraction</x:v>
      </x:c>
      <x:c r="J96" s="62" t="str">
        <x:v>Pending full-text extraction</x:v>
      </x:c>
      <x:c r="K96" s="62" t="str">
        <x:v>Pending full-text extraction</x:v>
      </x:c>
      <x:c r="L96" s="62" t="str">
        <x:v>Pending full-text extraction</x:v>
      </x:c>
      <x:c r="M96" s="62" t="str">
        <x:v>workshop</x:v>
      </x:c>
      <x:c r="N96" s="62" t="str">
        <x:v>static/offline or not stated</x:v>
      </x:c>
      <x:c r="O96" s="62" t="str"/>
      <x:c r="P96" s="62" t="str"/>
      <x:c r="Q96" s="62" t="str"/>
      <x:c r="R96" s="62" t="str"/>
      <x:c r="S96" s="62" t="str"/>
      <x:c r="T96" s="62" t="str"/>
      <x:c r="U96" s="62" t="str">
        <x:v>mechanism-transfer candidate</x:v>
      </x:c>
      <x:c r="V96" s="62" t="str">
        <x:v>scheduling/metaheuristic</x:v>
      </x:c>
      <x:c r="W96" s="62" t="str"/>
      <x:c r="X96" s="62" t="str">
        <x:v>Frozen-query match: S2; source queries: S6</x:v>
      </x:c>
      <x:c r="Y96" s="62" t="str"/>
      <x:c r="Z96" s="62" t="str"/>
      <x:c r="AA96" s="62" t="str"/>
      <x:c r="AB96" s="62" t="str"/>
      <x:c r="AC96" s="62" t="str"/>
      <x:c r="AD96" s="62" t="str"/>
      <x:c r="AE96" s="62" t="str"/>
      <x:c r="AF96" s="62" t="str"/>
      <x:c r="AG96" s="62" t="str"/>
      <x:c r="AH96" s="62" t="str"/>
      <x:c r="AI96" s="62" t="str"/>
      <x:c r="AJ96" s="62" t="str"/>
      <x:c r="AK96" s="62" t="str"/>
      <x:c r="AL96" s="62" t="str"/>
      <x:c r="AM96" s="62" t="str"/>
      <x:c r="AN96" s="62" t="str"/>
      <x:c r="AO96" s="62" t="str"/>
      <x:c r="AP96" s="62" t="str"/>
      <x:c r="AQ96" s="62" t="str"/>
      <x:c r="AR96" s="62" t="str"/>
      <x:c r="AS96" s="62" t="str"/>
      <x:c r="AT96" s="62" t="str">
        <x:v>A fast and easily implementable approximation algorithm for the problem of finding a minimum makespan in a job shop is presented. The algorithm is based on a taboo search technique with a specific neighborhood definition which employs a critical path and blocks of operations notions. Computational experiments (up to 2,000 operations) show that the algorithm not only finds shorter makespans than the best approximation approaches but also runs in shorter time. It solves the well-known 10 × 10 hard benchmark problem within 30 seconds on a personal computer.</x:v>
      </x:c>
      <x:c r="AU96" s="62" t="str">
        <x:v>No full-text direct evidence extracted in step 4.</x:v>
      </x:c>
      <x:c r="AV96" s="62" t="str">
        <x:v>Preliminary relevance inference: meets all concept groups for S2.</x:v>
      </x:c>
      <x:c r="AW96" s="62" t="str">
        <x:v>Title/abstract screening cannot establish implementation identity, novelty, or performance comparability.</x:v>
      </x:c>
      <x:c r="AX96" s="62" t="str">
        <x:v>Verify original full text, method details, experimental budget, and six comparability dimensions.</x:v>
      </x:c>
      <x:c r="AY96" s="62" t="str">
        <x:v>unresolved</x:v>
      </x:c>
      <x:c r="AZ96" s="62" t="str">
        <x:v>indirect</x:v>
      </x:c>
      <x:c r="BA96" s="62" t="str">
        <x:v>Title/abstract screened; full-text pending</x:v>
      </x:c>
      <x:c r="BB96" s="62">
        <x:f>IF(COUNTA(B96:BC96)=0,"",IF(A96="","MISSING ID",IFERROR(IF(AND(LEFT(A96,1)="L",ISNUMBER(SEARCH("-E",A96))),"OK","CHECK ID"),"CHECK ID")))</x:f>
      </x:c>
    </x:row>
    <x:row r="97" ht="48" customHeight="1">
      <x:c r="A97" s="63" t="str">
        <x:v>L121-E01</x:v>
      </x:c>
      <x:c r="B97" s="63" t="str">
        <x:v>L121</x:v>
      </x:c>
      <x:c r="C97" s="63" t="str">
        <x:v>OpenAlex+OpenAlex-S6-seed S2,S6; title+abstract</x:v>
      </x:c>
      <x:c r="D97" s="63" t="str">
        <x:v>Database abstract available</x:v>
      </x:c>
      <x:c r="E97" s="63" t="str">
        <x:v>shop scheduling mechanism</x:v>
      </x:c>
      <x:c r="F97" s="63" t="str">
        <x:v>workshop</x:v>
      </x:c>
      <x:c r="G97" s="63" t="str">
        <x:v>search intensity, neighborhood size, or computational budget</x:v>
      </x:c>
      <x:c r="H97" s="63" t="str">
        <x:v>problem entities not yet extracted</x:v>
      </x:c>
      <x:c r="I97" s="63" t="str">
        <x:v>Pending full-text extraction</x:v>
      </x:c>
      <x:c r="J97" s="63" t="str">
        <x:v>Pending full-text extraction</x:v>
      </x:c>
      <x:c r="K97" s="63" t="str">
        <x:v>Pending full-text extraction</x:v>
      </x:c>
      <x:c r="L97" s="63" t="str">
        <x:v>Pending full-text extraction</x:v>
      </x:c>
      <x:c r="M97" s="63" t="str">
        <x:v>workshop</x:v>
      </x:c>
      <x:c r="N97" s="63" t="str">
        <x:v>dynamic/online</x:v>
      </x:c>
      <x:c r="O97" s="63" t="str"/>
      <x:c r="P97" s="63" t="str"/>
      <x:c r="Q97" s="63" t="str"/>
      <x:c r="R97" s="63" t="str"/>
      <x:c r="S97" s="63" t="str"/>
      <x:c r="T97" s="63" t="str"/>
      <x:c r="U97" s="63" t="str">
        <x:v>mechanism-transfer candidate</x:v>
      </x:c>
      <x:c r="V97" s="63" t="str">
        <x:v>scheduling/metaheuristic</x:v>
      </x:c>
      <x:c r="W97" s="63" t="str"/>
      <x:c r="X97" s="63" t="str">
        <x:v>Frozen-query match: S6 seed; source queries: S2,S6</x:v>
      </x:c>
      <x:c r="Y97" s="63" t="str"/>
      <x:c r="Z97" s="63" t="str"/>
      <x:c r="AA97" s="63" t="str"/>
      <x:c r="AB97" s="63" t="str"/>
      <x:c r="AC97" s="63" t="str"/>
      <x:c r="AD97" s="63" t="str"/>
      <x:c r="AE97" s="63" t="str"/>
      <x:c r="AF97" s="63" t="str"/>
      <x:c r="AG97" s="63" t="str"/>
      <x:c r="AH97" s="63" t="str"/>
      <x:c r="AI97" s="63" t="str"/>
      <x:c r="AJ97" s="63" t="str"/>
      <x:c r="AK97" s="63" t="str"/>
      <x:c r="AL97" s="63" t="str"/>
      <x:c r="AM97" s="63" t="str"/>
      <x:c r="AN97" s="63" t="str"/>
      <x:c r="AO97" s="63" t="str"/>
      <x:c r="AP97" s="63" t="str"/>
      <x:c r="AQ97" s="63" t="str"/>
      <x:c r="AR97" s="63" t="str"/>
      <x:c r="AS97" s="63" t="str"/>
      <x:c r="AT97" s="63" t="str">
        <x:v>The flexible job shop scheduling problem (FJSP) is an NP-hard combinatorial optimization problem, which has wide applications in the real world. The complexity and relevance of the FJSP have led to numerous research works on its modeling and resolution. This paper reviews some of the research of the past 30 years on the problem, by presenting and classifying the different criteria, constraints, configurations and solution approaches that have been considered. Recent emerging topics on complex shop scheduling, multi-criteria optimization and uncertain and dynamic environments are discussed. Fin</x:v>
      </x:c>
      <x:c r="AU97" s="63" t="str">
        <x:v>No full-text direct evidence extracted in step 4.</x:v>
      </x:c>
      <x:c r="AV97" s="63" t="str">
        <x:v>Preliminary relevance inference: S6 designated seed.</x:v>
      </x:c>
      <x:c r="AW97" s="63" t="str">
        <x:v>Title/abstract screening cannot establish implementation identity, novelty, or performance comparability.</x:v>
      </x:c>
      <x:c r="AX97" s="63" t="str">
        <x:v>Verify original full text, method details, experimental budget, and six comparability dimensions.</x:v>
      </x:c>
      <x:c r="AY97" s="63" t="str">
        <x:v>unresolved</x:v>
      </x:c>
      <x:c r="AZ97" s="63" t="str">
        <x:v>indirect</x:v>
      </x:c>
      <x:c r="BA97" s="63" t="str">
        <x:v>Title/abstract screened; full-text pending</x:v>
      </x:c>
      <x:c r="BB97" s="63">
        <x:f>IF(COUNTA(B97:BC97)=0,"",IF(A97="","MISSING ID",IFERROR(IF(AND(LEFT(A97,1)="L",ISNUMBER(SEARCH("-E",A97))),"OK","CHECK ID"),"CHECK ID")))</x:f>
      </x:c>
    </x:row>
    <x:row r="98" ht="48" customHeight="1">
      <x:c r="A98" s="62" t="str">
        <x:v>L122-E01</x:v>
      </x:c>
      <x:c r="B98" s="62" t="str">
        <x:v>L122</x:v>
      </x:c>
      <x:c r="C98" s="62" t="str">
        <x:v>OpenAlex-S6-seed+OpenAlex-S6-trace S6; title+metadata</x:v>
      </x:c>
      <x:c r="D98" s="62" t="str">
        <x:v>Abstract unavailable</x:v>
      </x:c>
      <x:c r="E98" s="62" t="str">
        <x:v>transferable search-control mechanism</x:v>
      </x:c>
      <x:c r="F98" s="62" t="str">
        <x:v>cross-domain optimization</x:v>
      </x:c>
      <x:c r="G98" s="62" t="str">
        <x:v>search intensity, neighborhood size, or computational budget</x:v>
      </x:c>
      <x:c r="H98" s="62" t="str">
        <x:v>problem entities not yet extracted</x:v>
      </x:c>
      <x:c r="I98" s="62" t="str">
        <x:v>Pending full-text extraction</x:v>
      </x:c>
      <x:c r="J98" s="62" t="str">
        <x:v>Pending full-text extraction</x:v>
      </x:c>
      <x:c r="K98" s="62" t="str">
        <x:v>Pending full-text extraction</x:v>
      </x:c>
      <x:c r="L98" s="62" t="str">
        <x:v>Pending full-text extraction</x:v>
      </x:c>
      <x:c r="M98" s="62" t="str">
        <x:v>cross-domain optimization</x:v>
      </x:c>
      <x:c r="N98" s="62" t="str">
        <x:v>static/offline or not stated</x:v>
      </x:c>
      <x:c r="O98" s="62" t="str"/>
      <x:c r="P98" s="62" t="str"/>
      <x:c r="Q98" s="62" t="str"/>
      <x:c r="R98" s="62" t="str"/>
      <x:c r="S98" s="62" t="str"/>
      <x:c r="T98" s="62" t="str"/>
      <x:c r="U98" s="62" t="str">
        <x:v>mechanism-transfer candidate</x:v>
      </x:c>
      <x:c r="V98" s="62" t="str">
        <x:v>scheduling/metaheuristic</x:v>
      </x:c>
      <x:c r="W98" s="62" t="str"/>
      <x:c r="X98" s="62" t="str">
        <x:v>Frozen-query match: S6 seed; source queries: S6</x:v>
      </x:c>
      <x:c r="Y98" s="62" t="str"/>
      <x:c r="Z98" s="62" t="str"/>
      <x:c r="AA98" s="62" t="str"/>
      <x:c r="AB98" s="62" t="str"/>
      <x:c r="AC98" s="62" t="str"/>
      <x:c r="AD98" s="62" t="str"/>
      <x:c r="AE98" s="62" t="str"/>
      <x:c r="AF98" s="62" t="str"/>
      <x:c r="AG98" s="62" t="str"/>
      <x:c r="AH98" s="62" t="str"/>
      <x:c r="AI98" s="62" t="str"/>
      <x:c r="AJ98" s="62" t="str"/>
      <x:c r="AK98" s="62" t="str"/>
      <x:c r="AL98" s="62" t="str"/>
      <x:c r="AM98" s="62" t="str"/>
      <x:c r="AN98" s="62" t="str"/>
      <x:c r="AO98" s="62" t="str"/>
      <x:c r="AP98" s="62" t="str"/>
      <x:c r="AQ98" s="62" t="str"/>
      <x:c r="AR98" s="62" t="str"/>
      <x:c r="AS98" s="62" t="str"/>
      <x:c r="AT98" s="62" t="str">
        <x:v>No abstract retrieved; no author conclusion extracted.</x:v>
      </x:c>
      <x:c r="AU98" s="62" t="str">
        <x:v>No full-text direct evidence extracted in step 4.</x:v>
      </x:c>
      <x:c r="AV98" s="62" t="str">
        <x:v>Preliminary relevance inference: S6 designated seed.</x:v>
      </x:c>
      <x:c r="AW98" s="62" t="str">
        <x:v>Title/abstract screening cannot establish implementation identity, novelty, or performance comparability.</x:v>
      </x:c>
      <x:c r="AX98" s="62" t="str">
        <x:v>Verify original full text, method details, experimental budget, and six comparability dimensions.</x:v>
      </x:c>
      <x:c r="AY98" s="62" t="str">
        <x:v>unresolved</x:v>
      </x:c>
      <x:c r="AZ98" s="62" t="str">
        <x:v>indirect</x:v>
      </x:c>
      <x:c r="BA98" s="62" t="str">
        <x:v>Title/abstract screened; full-text pending</x:v>
      </x:c>
      <x:c r="BB98" s="62">
        <x:f>IF(COUNTA(B98:BC98)=0,"",IF(A98="","MISSING ID",IFERROR(IF(AND(LEFT(A98,1)="L",ISNUMBER(SEARCH("-E",A98))),"OK","CHECK ID"),"CHECK ID")))</x:f>
      </x:c>
    </x:row>
  </x:sheetData>
  <x:mergeCells>
    <x:mergeCell ref="A1:BB1"/>
    <x:mergeCell ref="A2:BB2"/>
  </x:mergeCells>
  <x:dataValidations count="10">
    <x:dataValidation type="list" sqref="F4:F24">
      <x:formula1>"workshop,warehouse,terminal,transport,other,not reported,unclear"</x:formula1>
    </x:dataValidation>
    <x:dataValidation type="list" sqref="G4:G24">
      <x:formula1>"operation sequence,machine assignment,vehicle assignment,route,speed,charging,maintenance,combination,other,not reported,unclear"</x:formula1>
    </x:dataValidation>
    <x:dataValidation type="list" sqref="M4:M24">
      <x:formula1>"static deterministic,static stochastic,dynamic deterministic,dynamic stochastic,not reported,unclear"</x:formula1>
    </x:dataValidation>
    <x:dataValidation type="list" sqref="P4:P24">
      <x:formula1>"none,machine failure,new order,order cancellation,processing-time variation,vehicle failure,congestion,other,not reported,unclear"</x:formula1>
    </x:dataValidation>
    <x:dataValidation type="list" sqref="U4:U24">
      <x:formula1>"joint,iterative,hierarchical,sequential,not reported,unclear"</x:formula1>
    </x:dataValidation>
    <x:dataValidation type="list" sqref="V4:V24">
      <x:formula1>"exact,heuristic,metaheuristic,learning-based,hybrid,not reported,unclear"</x:formula1>
    </x:dataValidation>
    <x:dataValidation type="list" sqref="W4:W24">
      <x:formula1>"efficiency,stability,robustness,energy,safety,computational cost,multi-objective combination,not reported,unclear"</x:formula1>
    </x:dataValidation>
    <x:dataValidation type="list" sqref="AY4:AY24">
      <x:formula1>"author conclusion,secondary claim,direct evidence,AI inference,limitation,unresolved"</x:formula1>
    </x:dataValidation>
    <x:dataValidation type="list" sqref="AZ4:AZ24">
      <x:formula1>"direct,indirect,speculative,not assessed"</x:formula1>
    </x:dataValidation>
    <x:dataValidation type="list" sqref="BA4:BA24">
      <x:formula1>"Not started,In progress,Awaiting approval,Complete,Retired"</x:formula1>
    </x:dataValidation>
  </x:dataValidations>
  <x:pageMargins left="0.7" right="0.7" top="0.75" bottom="0.75" header="0.3" footer="0.3"/>
  <x:tableParts count="1">
    <x:tablePart xmlns:r="http://schemas.openxmlformats.org/officeDocument/2006/relationships" r:id="Rdb27544175ec44e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6" hidden="0" customWidth="1"/>
    <x:col min="3" max="3" width="44" hidden="0" customWidth="1"/>
    <x:col min="4" max="4" width="20" hidden="0" customWidth="1"/>
    <x:col min="5" max="5" width="18" hidden="0" customWidth="1"/>
    <x:col min="6" max="6" width="36" hidden="0" customWidth="1"/>
    <x:col min="7" max="7" width="40" hidden="0" customWidth="1"/>
    <x:col min="8" max="8" width="17" hidden="0" customWidth="1"/>
    <x:col min="9" max="9" width="15" hidden="0" customWidth="1"/>
  </x:cols>
  <x:sheetData>
    <x:row r="1" ht="24" customHeight="1">
      <x:c r="A1" s="34" t="str">
        <x:v>Claim Map</x:v>
      </x:c>
      <x:c r="B1" s="35"/>
      <x:c r="C1" s="35"/>
      <x:c r="D1" s="35"/>
      <x:c r="E1" s="35"/>
      <x:c r="F1" s="35"/>
      <x:c r="G1" s="35"/>
      <x:c r="H1" s="35"/>
      <x:c r="I1" s="36"/>
    </x:row>
    <x:row r="2" ht="24" customHeight="1">
      <x:c r="A2" s="37" t="str">
        <x:v>Editable review matrix. Use controlled values where available; select other and fill the labelled taxonomy-extension detail only when needed.</x:v>
      </x:c>
      <x:c r="B2" s="38"/>
      <x:c r="C2" s="38"/>
      <x:c r="D2" s="38"/>
      <x:c r="E2" s="38"/>
      <x:c r="F2" s="38"/>
      <x:c r="G2" s="38"/>
      <x:c r="H2" s="38"/>
      <x:c r="I2" s="39"/>
    </x:row>
    <x:row r="3" ht="24" customHeight="1">
      <x:c r="A3" s="20" t="str">
        <x:v>Claim ID</x:v>
      </x:c>
      <x:c r="B3" s="21" t="str">
        <x:v>Evidence ID</x:v>
      </x:c>
      <x:c r="C3" s="21" t="str">
        <x:v>Claim text</x:v>
      </x:c>
      <x:c r="D3" s="21" t="str">
        <x:v>Evidence class</x:v>
      </x:c>
      <x:c r="E3" s="21" t="str">
        <x:v>Evidence strength</x:v>
      </x:c>
      <x:c r="F3" s="21" t="str">
        <x:v>Permitted wording</x:v>
      </x:c>
      <x:c r="G3" s="21" t="str">
        <x:v>Comparison / limitation</x:v>
      </x:c>
      <x:c r="H3" s="21" t="str">
        <x:v>Review status</x:v>
      </x:c>
      <x:c r="I3" s="22" t="str">
        <x:v>ID check</x:v>
      </x:c>
    </x:row>
    <x:row r="4" ht="48" customHeight="1">
      <x:c r="A4" s="47" t="str">
        <x:v>C001</x:v>
      </x:c>
      <x:c r="B4" s="48" t="str"/>
      <x:c r="C4" s="48" t="str">
        <x:v>Step 4 establishes a reproducible candidate pool, not a novelty conclusion.</x:v>
      </x:c>
      <x:c r="D4" s="48" t="str">
        <x:v>unresolved</x:v>
      </x:c>
      <x:c r="E4" s="48" t="str">
        <x:v>indirect</x:v>
      </x:c>
      <x:c r="F4" s="48" t="str">
        <x:v>The concentrated search identified provisional candidates for full-text review.</x:v>
      </x:c>
      <x:c r="G4" s="48" t="str">
        <x:v>Do not claim absence of prior work or superiority.</x:v>
      </x:c>
      <x:c r="H4" s="48" t="str">
        <x:v>Search-stage boundary</x:v>
      </x:c>
      <x:c r="I4" s="50" t="str">
        <x:f>IF(COUNTA(B4:H4)=0,"",IF(A4="","MISSING ID",IFERROR(IF(AND(LEFT(A4,1)="C",LEN(A4)=4,ISNUMBER(VALUE(RIGHT(A4,3)))),"OK","CHECK ID"),"CHECK ID")))</x:f>
        <x:v>OK</x:v>
      </x:c>
    </x:row>
    <x:row r="5">
      <x:c r="A5" s="42"/>
      <x:c r="B5" s="29"/>
      <x:c r="C5" s="29"/>
      <x:c r="D5" s="29"/>
      <x:c r="E5" s="29"/>
      <x:c r="F5" s="29"/>
      <x:c r="G5" s="29"/>
      <x:c r="H5" s="29"/>
      <x:c r="I5" s="41"/>
    </x:row>
    <x:row r="6">
      <x:c r="A6" s="42"/>
      <x:c r="B6" s="29"/>
      <x:c r="C6" s="29"/>
      <x:c r="D6" s="29"/>
      <x:c r="E6" s="29"/>
      <x:c r="F6" s="29"/>
      <x:c r="G6" s="29"/>
      <x:c r="H6" s="29"/>
      <x:c r="I6" s="41"/>
    </x:row>
    <x:row r="7">
      <x:c r="A7" s="42"/>
      <x:c r="B7" s="29"/>
      <x:c r="C7" s="29"/>
      <x:c r="D7" s="29"/>
      <x:c r="E7" s="29"/>
      <x:c r="F7" s="29"/>
      <x:c r="G7" s="29"/>
      <x:c r="H7" s="29"/>
      <x:c r="I7" s="41"/>
    </x:row>
    <x:row r="8">
      <x:c r="A8" s="42"/>
      <x:c r="B8" s="29"/>
      <x:c r="C8" s="29"/>
      <x:c r="D8" s="29"/>
      <x:c r="E8" s="29"/>
      <x:c r="F8" s="29"/>
      <x:c r="G8" s="29"/>
      <x:c r="H8" s="29"/>
      <x:c r="I8" s="41"/>
    </x:row>
    <x:row r="9">
      <x:c r="A9" s="42"/>
      <x:c r="B9" s="29"/>
      <x:c r="C9" s="29"/>
      <x:c r="D9" s="29"/>
      <x:c r="E9" s="29"/>
      <x:c r="F9" s="29"/>
      <x:c r="G9" s="29"/>
      <x:c r="H9" s="29"/>
      <x:c r="I9" s="41"/>
    </x:row>
    <x:row r="10">
      <x:c r="A10" s="42"/>
      <x:c r="B10" s="29"/>
      <x:c r="C10" s="29"/>
      <x:c r="D10" s="29"/>
      <x:c r="E10" s="29"/>
      <x:c r="F10" s="29"/>
      <x:c r="G10" s="29"/>
      <x:c r="H10" s="29"/>
      <x:c r="I10" s="41"/>
    </x:row>
    <x:row r="11">
      <x:c r="A11" s="42"/>
      <x:c r="B11" s="29"/>
      <x:c r="C11" s="29"/>
      <x:c r="D11" s="29"/>
      <x:c r="E11" s="29"/>
      <x:c r="F11" s="29"/>
      <x:c r="G11" s="29"/>
      <x:c r="H11" s="29"/>
      <x:c r="I11" s="41"/>
    </x:row>
    <x:row r="12">
      <x:c r="A12" s="42"/>
      <x:c r="B12" s="29"/>
      <x:c r="C12" s="29"/>
      <x:c r="D12" s="29"/>
      <x:c r="E12" s="29"/>
      <x:c r="F12" s="29"/>
      <x:c r="G12" s="29"/>
      <x:c r="H12" s="29"/>
      <x:c r="I12" s="41"/>
    </x:row>
    <x:row r="13">
      <x:c r="A13" s="42"/>
      <x:c r="B13" s="29"/>
      <x:c r="C13" s="29"/>
      <x:c r="D13" s="29"/>
      <x:c r="E13" s="29"/>
      <x:c r="F13" s="29"/>
      <x:c r="G13" s="29"/>
      <x:c r="H13" s="29"/>
      <x:c r="I13" s="41"/>
    </x:row>
    <x:row r="14">
      <x:c r="A14" s="42"/>
      <x:c r="B14" s="29"/>
      <x:c r="C14" s="29"/>
      <x:c r="D14" s="29"/>
      <x:c r="E14" s="29"/>
      <x:c r="F14" s="29"/>
      <x:c r="G14" s="29"/>
      <x:c r="H14" s="29"/>
      <x:c r="I14" s="41"/>
    </x:row>
    <x:row r="15">
      <x:c r="A15" s="42"/>
      <x:c r="B15" s="29"/>
      <x:c r="C15" s="29"/>
      <x:c r="D15" s="29"/>
      <x:c r="E15" s="29"/>
      <x:c r="F15" s="29"/>
      <x:c r="G15" s="29"/>
      <x:c r="H15" s="29"/>
      <x:c r="I15" s="41"/>
    </x:row>
    <x:row r="16">
      <x:c r="A16" s="42"/>
      <x:c r="B16" s="29"/>
      <x:c r="C16" s="29"/>
      <x:c r="D16" s="29"/>
      <x:c r="E16" s="29"/>
      <x:c r="F16" s="29"/>
      <x:c r="G16" s="29"/>
      <x:c r="H16" s="29"/>
      <x:c r="I16" s="41"/>
    </x:row>
    <x:row r="17">
      <x:c r="A17" s="42"/>
      <x:c r="B17" s="29"/>
      <x:c r="C17" s="29"/>
      <x:c r="D17" s="29"/>
      <x:c r="E17" s="29"/>
      <x:c r="F17" s="29"/>
      <x:c r="G17" s="29"/>
      <x:c r="H17" s="29"/>
      <x:c r="I17" s="41"/>
    </x:row>
    <x:row r="18">
      <x:c r="A18" s="42"/>
      <x:c r="B18" s="29"/>
      <x:c r="C18" s="29"/>
      <x:c r="D18" s="29"/>
      <x:c r="E18" s="29"/>
      <x:c r="F18" s="29"/>
      <x:c r="G18" s="29"/>
      <x:c r="H18" s="29"/>
      <x:c r="I18" s="41"/>
    </x:row>
    <x:row r="19">
      <x:c r="A19" s="42"/>
      <x:c r="B19" s="29"/>
      <x:c r="C19" s="29"/>
      <x:c r="D19" s="29"/>
      <x:c r="E19" s="29"/>
      <x:c r="F19" s="29"/>
      <x:c r="G19" s="29"/>
      <x:c r="H19" s="29"/>
      <x:c r="I19" s="41"/>
    </x:row>
    <x:row r="20">
      <x:c r="A20" s="42"/>
      <x:c r="B20" s="29"/>
      <x:c r="C20" s="29"/>
      <x:c r="D20" s="29"/>
      <x:c r="E20" s="29"/>
      <x:c r="F20" s="29"/>
      <x:c r="G20" s="29"/>
      <x:c r="H20" s="29"/>
      <x:c r="I20" s="41"/>
    </x:row>
    <x:row r="21">
      <x:c r="A21" s="42"/>
      <x:c r="B21" s="29"/>
      <x:c r="C21" s="29"/>
      <x:c r="D21" s="29"/>
      <x:c r="E21" s="29"/>
      <x:c r="F21" s="29"/>
      <x:c r="G21" s="29"/>
      <x:c r="H21" s="29"/>
      <x:c r="I21" s="41"/>
    </x:row>
    <x:row r="22">
      <x:c r="A22" s="42"/>
      <x:c r="B22" s="29"/>
      <x:c r="C22" s="29"/>
      <x:c r="D22" s="29"/>
      <x:c r="E22" s="29"/>
      <x:c r="F22" s="29"/>
      <x:c r="G22" s="29"/>
      <x:c r="H22" s="29"/>
      <x:c r="I22" s="41"/>
    </x:row>
    <x:row r="23">
      <x:c r="A23" s="42"/>
      <x:c r="B23" s="29"/>
      <x:c r="C23" s="29"/>
      <x:c r="D23" s="29"/>
      <x:c r="E23" s="29"/>
      <x:c r="F23" s="29"/>
      <x:c r="G23" s="29"/>
      <x:c r="H23" s="29"/>
      <x:c r="I23" s="41"/>
    </x:row>
    <x:row r="24">
      <x:c r="A24" s="43"/>
      <x:c r="B24" s="44"/>
      <x:c r="C24" s="44"/>
      <x:c r="D24" s="44"/>
      <x:c r="E24" s="44"/>
      <x:c r="F24" s="44"/>
      <x:c r="G24" s="44"/>
      <x:c r="H24" s="44"/>
      <x:c r="I24" s="46"/>
    </x:row>
  </x:sheetData>
  <x:mergeCells>
    <x:mergeCell ref="A1:I1"/>
    <x:mergeCell ref="A2:I2"/>
  </x:mergeCells>
  <x:dataValidations count="3">
    <x:dataValidation type="list" sqref="D4:D24">
      <x:formula1>"author conclusion,secondary claim,direct evidence,AI inference,limitation,unresolved"</x:formula1>
    </x:dataValidation>
    <x:dataValidation type="list" sqref="E4:E24">
      <x:formula1>"direct,indirect,speculative,not assessed"</x:formula1>
    </x:dataValidation>
    <x:dataValidation type="list" sqref="H4:H24">
      <x:formula1>"Not started,In progress,Awaiting approval,Complete,Retired"</x:formula1>
    </x:dataValidation>
  </x:dataValidations>
  <x:pageMargins left="0.7" right="0.7" top="0.75" bottom="0.75" header="0.3" footer="0.3"/>
  <x:tableParts count="1">
    <x:tablePart xmlns:r="http://schemas.openxmlformats.org/officeDocument/2006/relationships" r:id="R7e31ec4078f34e8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18" hidden="0" customWidth="1"/>
    <x:col min="4" max="4" width="24" hidden="0" customWidth="1"/>
    <x:col min="5" max="5" width="24" hidden="0" customWidth="1"/>
    <x:col min="6" max="6" width="34" hidden="0" customWidth="1"/>
    <x:col min="7" max="7" width="31" hidden="0" customWidth="1"/>
    <x:col min="8" max="8" width="36" hidden="0" customWidth="1"/>
    <x:col min="9" max="9" width="25" hidden="0" customWidth="1"/>
    <x:col min="10" max="10" width="20" hidden="0" customWidth="1"/>
    <x:col min="11" max="11" width="34" hidden="0" customWidth="1"/>
    <x:col min="12" max="12" width="28" hidden="0" customWidth="1"/>
    <x:col min="13" max="13" width="17" hidden="0" customWidth="1"/>
    <x:col min="14" max="14" width="18" hidden="0" customWidth="1"/>
  </x:cols>
  <x:sheetData>
    <x:row r="1" ht="24" customHeight="1">
      <x:c r="A1" s="34" t="str">
        <x:v>Comparability</x:v>
      </x:c>
      <x:c r="B1" s="35"/>
      <x:c r="C1" s="35"/>
      <x:c r="D1" s="35"/>
      <x:c r="E1" s="35"/>
      <x:c r="F1" s="35"/>
      <x:c r="G1" s="35"/>
      <x:c r="H1" s="35"/>
      <x:c r="I1" s="35"/>
      <x:c r="J1" s="35"/>
      <x:c r="K1" s="35"/>
      <x:c r="L1" s="35"/>
      <x:c r="M1" s="35"/>
      <x:c r="N1" s="36"/>
    </x:row>
    <x:row r="2" ht="24" customHeight="1">
      <x:c r="A2" s="37" t="str">
        <x:v>Editable review matrix. Use controlled values where available; select other and fill the labelled taxonomy-extension detail only when needed.</x:v>
      </x:c>
      <x:c r="B2" s="38"/>
      <x:c r="C2" s="38"/>
      <x:c r="D2" s="38"/>
      <x:c r="E2" s="38"/>
      <x:c r="F2" s="38"/>
      <x:c r="G2" s="38"/>
      <x:c r="H2" s="38"/>
      <x:c r="I2" s="38"/>
      <x:c r="J2" s="38"/>
      <x:c r="K2" s="38"/>
      <x:c r="L2" s="38"/>
      <x:c r="M2" s="38"/>
      <x:c r="N2" s="39"/>
    </x:row>
    <x:row r="3" ht="24" customHeight="1">
      <x:c r="A3" s="20" t="str">
        <x:v>Comparison ID</x:v>
      </x:c>
      <x:c r="B3" s="21" t="str">
        <x:v>Literature / evidence A</x:v>
      </x:c>
      <x:c r="C3" s="21" t="str">
        <x:v>Literature / evidence B</x:v>
      </x:c>
      <x:c r="D3" s="21" t="str">
        <x:v>Problem / objective compatible?</x:v>
      </x:c>
      <x:c r="E3" s="21" t="str">
        <x:v>Instance / scale compatible?</x:v>
      </x:c>
      <x:c r="F3" s="21" t="str">
        <x:v>Constraints / disturbance / information compatible?</x:v>
      </x:c>
      <x:c r="G3" s="21" t="str">
        <x:v>Budget / stopping condition compatible?</x:v>
      </x:c>
      <x:c r="H3" s="21" t="str">
        <x:v>Metric / normalization / reference point compatible?</x:v>
      </x:c>
      <x:c r="I3" s="21" t="str">
        <x:v>Runs / statistics compatible?</x:v>
      </x:c>
      <x:c r="J3" s="21" t="str">
        <x:v>Comparison verdict</x:v>
      </x:c>
      <x:c r="K3" s="21" t="str">
        <x:v>Reason if not DIRECT</x:v>
      </x:c>
      <x:c r="L3" s="21" t="str">
        <x:v>Permitted comparison</x:v>
      </x:c>
      <x:c r="M3" s="21" t="str">
        <x:v>Review status</x:v>
      </x:c>
      <x:c r="N3" s="22" t="str">
        <x:v>Reason check</x:v>
      </x:c>
    </x:row>
    <x:row r="4" ht="48" customHeight="1">
      <x:c r="A4" s="47" t="str">
        <x:v>P001</x:v>
      </x:c>
      <x:c r="B4" s="48" t="str">
        <x:v>Concentrated candidate pool</x:v>
      </x:c>
      <x:c r="C4" s="48" t="str">
        <x:v>P02 proposed mechanism</x:v>
      </x:c>
      <x:c r="D4" s="48" t="str">
        <x:v>Not assessed</x:v>
      </x:c>
      <x:c r="E4" s="48" t="str">
        <x:v>Not assessed</x:v>
      </x:c>
      <x:c r="F4" s="48" t="str">
        <x:v>Not assessed</x:v>
      </x:c>
      <x:c r="G4" s="48" t="str">
        <x:v>Not assessed</x:v>
      </x:c>
      <x:c r="H4" s="48" t="str">
        <x:v>Not assessed</x:v>
      </x:c>
      <x:c r="I4" s="48" t="str">
        <x:v>Not assessed</x:v>
      </x:c>
      <x:c r="J4" s="48" t="str">
        <x:v>QUALITATIVE</x:v>
      </x:c>
      <x:c r="K4" s="48" t="str">
        <x:v>Full-text and six-dimension checks remain pending</x:v>
      </x:c>
      <x:c r="L4" s="48" t="str">
        <x:v>Candidate identification only; no performance comparison</x:v>
      </x:c>
      <x:c r="M4" s="48" t="str">
        <x:v>Pending full-text review</x:v>
      </x:c>
      <x:c r="N4" s="50" t="str">
        <x:f>IF(COUNTA(B4:M4)=0,"",IF(AND(J4="DIRECT",COUNTIF(D4:I4,"&lt;&gt;Yes")&gt;0),"CHECK — DIRECT needs six Yes",IF(AND(J4&lt;&gt;"DIRECT",K4=""),"ADD REASON","OK")))</x:f>
        <x:v>OK</x:v>
      </x:c>
    </x:row>
    <x:row r="5">
      <x:c r="A5" s="42"/>
      <x:c r="B5" s="29"/>
      <x:c r="C5" s="29"/>
      <x:c r="D5" s="29"/>
      <x:c r="E5" s="29"/>
      <x:c r="F5" s="29"/>
      <x:c r="G5" s="29"/>
      <x:c r="H5" s="29"/>
      <x:c r="I5" s="29"/>
      <x:c r="J5" s="29"/>
      <x:c r="K5" s="29"/>
      <x:c r="L5" s="29"/>
      <x:c r="M5" s="29"/>
      <x:c r="N5" s="41"/>
    </x:row>
    <x:row r="6">
      <x:c r="A6" s="42"/>
      <x:c r="B6" s="29"/>
      <x:c r="C6" s="29"/>
      <x:c r="D6" s="29"/>
      <x:c r="E6" s="29"/>
      <x:c r="F6" s="29"/>
      <x:c r="G6" s="29"/>
      <x:c r="H6" s="29"/>
      <x:c r="I6" s="29"/>
      <x:c r="J6" s="29"/>
      <x:c r="K6" s="29"/>
      <x:c r="L6" s="29"/>
      <x:c r="M6" s="29"/>
      <x:c r="N6" s="41"/>
    </x:row>
    <x:row r="7">
      <x:c r="A7" s="42"/>
      <x:c r="B7" s="29"/>
      <x:c r="C7" s="29"/>
      <x:c r="D7" s="29"/>
      <x:c r="E7" s="29"/>
      <x:c r="F7" s="29"/>
      <x:c r="G7" s="29"/>
      <x:c r="H7" s="29"/>
      <x:c r="I7" s="29"/>
      <x:c r="J7" s="29"/>
      <x:c r="K7" s="29"/>
      <x:c r="L7" s="29"/>
      <x:c r="M7" s="29"/>
      <x:c r="N7" s="41"/>
    </x:row>
    <x:row r="8">
      <x:c r="A8" s="42"/>
      <x:c r="B8" s="29"/>
      <x:c r="C8" s="29"/>
      <x:c r="D8" s="29"/>
      <x:c r="E8" s="29"/>
      <x:c r="F8" s="29"/>
      <x:c r="G8" s="29"/>
      <x:c r="H8" s="29"/>
      <x:c r="I8" s="29"/>
      <x:c r="J8" s="29"/>
      <x:c r="K8" s="29"/>
      <x:c r="L8" s="29"/>
      <x:c r="M8" s="29"/>
      <x:c r="N8" s="41"/>
    </x:row>
    <x:row r="9">
      <x:c r="A9" s="42"/>
      <x:c r="B9" s="29"/>
      <x:c r="C9" s="29"/>
      <x:c r="D9" s="29"/>
      <x:c r="E9" s="29"/>
      <x:c r="F9" s="29"/>
      <x:c r="G9" s="29"/>
      <x:c r="H9" s="29"/>
      <x:c r="I9" s="29"/>
      <x:c r="J9" s="29"/>
      <x:c r="K9" s="29"/>
      <x:c r="L9" s="29"/>
      <x:c r="M9" s="29"/>
      <x:c r="N9" s="41"/>
    </x:row>
    <x:row r="10">
      <x:c r="A10" s="42"/>
      <x:c r="B10" s="29"/>
      <x:c r="C10" s="29"/>
      <x:c r="D10" s="29"/>
      <x:c r="E10" s="29"/>
      <x:c r="F10" s="29"/>
      <x:c r="G10" s="29"/>
      <x:c r="H10" s="29"/>
      <x:c r="I10" s="29"/>
      <x:c r="J10" s="29"/>
      <x:c r="K10" s="29"/>
      <x:c r="L10" s="29"/>
      <x:c r="M10" s="29"/>
      <x:c r="N10" s="41"/>
    </x:row>
    <x:row r="11">
      <x:c r="A11" s="42"/>
      <x:c r="B11" s="29"/>
      <x:c r="C11" s="29"/>
      <x:c r="D11" s="29"/>
      <x:c r="E11" s="29"/>
      <x:c r="F11" s="29"/>
      <x:c r="G11" s="29"/>
      <x:c r="H11" s="29"/>
      <x:c r="I11" s="29"/>
      <x:c r="J11" s="29"/>
      <x:c r="K11" s="29"/>
      <x:c r="L11" s="29"/>
      <x:c r="M11" s="29"/>
      <x:c r="N11" s="41"/>
    </x:row>
    <x:row r="12">
      <x:c r="A12" s="42"/>
      <x:c r="B12" s="29"/>
      <x:c r="C12" s="29"/>
      <x:c r="D12" s="29"/>
      <x:c r="E12" s="29"/>
      <x:c r="F12" s="29"/>
      <x:c r="G12" s="29"/>
      <x:c r="H12" s="29"/>
      <x:c r="I12" s="29"/>
      <x:c r="J12" s="29"/>
      <x:c r="K12" s="29"/>
      <x:c r="L12" s="29"/>
      <x:c r="M12" s="29"/>
      <x:c r="N12" s="41"/>
    </x:row>
    <x:row r="13">
      <x:c r="A13" s="42"/>
      <x:c r="B13" s="29"/>
      <x:c r="C13" s="29"/>
      <x:c r="D13" s="29"/>
      <x:c r="E13" s="29"/>
      <x:c r="F13" s="29"/>
      <x:c r="G13" s="29"/>
      <x:c r="H13" s="29"/>
      <x:c r="I13" s="29"/>
      <x:c r="J13" s="29"/>
      <x:c r="K13" s="29"/>
      <x:c r="L13" s="29"/>
      <x:c r="M13" s="29"/>
      <x:c r="N13" s="41"/>
    </x:row>
    <x:row r="14">
      <x:c r="A14" s="42"/>
      <x:c r="B14" s="29"/>
      <x:c r="C14" s="29"/>
      <x:c r="D14" s="29"/>
      <x:c r="E14" s="29"/>
      <x:c r="F14" s="29"/>
      <x:c r="G14" s="29"/>
      <x:c r="H14" s="29"/>
      <x:c r="I14" s="29"/>
      <x:c r="J14" s="29"/>
      <x:c r="K14" s="29"/>
      <x:c r="L14" s="29"/>
      <x:c r="M14" s="29"/>
      <x:c r="N14" s="41"/>
    </x:row>
    <x:row r="15">
      <x:c r="A15" s="42"/>
      <x:c r="B15" s="29"/>
      <x:c r="C15" s="29"/>
      <x:c r="D15" s="29"/>
      <x:c r="E15" s="29"/>
      <x:c r="F15" s="29"/>
      <x:c r="G15" s="29"/>
      <x:c r="H15" s="29"/>
      <x:c r="I15" s="29"/>
      <x:c r="J15" s="29"/>
      <x:c r="K15" s="29"/>
      <x:c r="L15" s="29"/>
      <x:c r="M15" s="29"/>
      <x:c r="N15" s="41"/>
    </x:row>
    <x:row r="16">
      <x:c r="A16" s="42"/>
      <x:c r="B16" s="29"/>
      <x:c r="C16" s="29"/>
      <x:c r="D16" s="29"/>
      <x:c r="E16" s="29"/>
      <x:c r="F16" s="29"/>
      <x:c r="G16" s="29"/>
      <x:c r="H16" s="29"/>
      <x:c r="I16" s="29"/>
      <x:c r="J16" s="29"/>
      <x:c r="K16" s="29"/>
      <x:c r="L16" s="29"/>
      <x:c r="M16" s="29"/>
      <x:c r="N16" s="41"/>
    </x:row>
    <x:row r="17">
      <x:c r="A17" s="42"/>
      <x:c r="B17" s="29"/>
      <x:c r="C17" s="29"/>
      <x:c r="D17" s="29"/>
      <x:c r="E17" s="29"/>
      <x:c r="F17" s="29"/>
      <x:c r="G17" s="29"/>
      <x:c r="H17" s="29"/>
      <x:c r="I17" s="29"/>
      <x:c r="J17" s="29"/>
      <x:c r="K17" s="29"/>
      <x:c r="L17" s="29"/>
      <x:c r="M17" s="29"/>
      <x:c r="N17" s="41"/>
    </x:row>
    <x:row r="18">
      <x:c r="A18" s="42"/>
      <x:c r="B18" s="29"/>
      <x:c r="C18" s="29"/>
      <x:c r="D18" s="29"/>
      <x:c r="E18" s="29"/>
      <x:c r="F18" s="29"/>
      <x:c r="G18" s="29"/>
      <x:c r="H18" s="29"/>
      <x:c r="I18" s="29"/>
      <x:c r="J18" s="29"/>
      <x:c r="K18" s="29"/>
      <x:c r="L18" s="29"/>
      <x:c r="M18" s="29"/>
      <x:c r="N18" s="41"/>
    </x:row>
    <x:row r="19">
      <x:c r="A19" s="42"/>
      <x:c r="B19" s="29"/>
      <x:c r="C19" s="29"/>
      <x:c r="D19" s="29"/>
      <x:c r="E19" s="29"/>
      <x:c r="F19" s="29"/>
      <x:c r="G19" s="29"/>
      <x:c r="H19" s="29"/>
      <x:c r="I19" s="29"/>
      <x:c r="J19" s="29"/>
      <x:c r="K19" s="29"/>
      <x:c r="L19" s="29"/>
      <x:c r="M19" s="29"/>
      <x:c r="N19" s="41"/>
    </x:row>
    <x:row r="20">
      <x:c r="A20" s="42"/>
      <x:c r="B20" s="29"/>
      <x:c r="C20" s="29"/>
      <x:c r="D20" s="29"/>
      <x:c r="E20" s="29"/>
      <x:c r="F20" s="29"/>
      <x:c r="G20" s="29"/>
      <x:c r="H20" s="29"/>
      <x:c r="I20" s="29"/>
      <x:c r="J20" s="29"/>
      <x:c r="K20" s="29"/>
      <x:c r="L20" s="29"/>
      <x:c r="M20" s="29"/>
      <x:c r="N20" s="41"/>
    </x:row>
    <x:row r="21">
      <x:c r="A21" s="42"/>
      <x:c r="B21" s="29"/>
      <x:c r="C21" s="29"/>
      <x:c r="D21" s="29"/>
      <x:c r="E21" s="29"/>
      <x:c r="F21" s="29"/>
      <x:c r="G21" s="29"/>
      <x:c r="H21" s="29"/>
      <x:c r="I21" s="29"/>
      <x:c r="J21" s="29"/>
      <x:c r="K21" s="29"/>
      <x:c r="L21" s="29"/>
      <x:c r="M21" s="29"/>
      <x:c r="N21" s="41"/>
    </x:row>
    <x:row r="22">
      <x:c r="A22" s="42"/>
      <x:c r="B22" s="29"/>
      <x:c r="C22" s="29"/>
      <x:c r="D22" s="29"/>
      <x:c r="E22" s="29"/>
      <x:c r="F22" s="29"/>
      <x:c r="G22" s="29"/>
      <x:c r="H22" s="29"/>
      <x:c r="I22" s="29"/>
      <x:c r="J22" s="29"/>
      <x:c r="K22" s="29"/>
      <x:c r="L22" s="29"/>
      <x:c r="M22" s="29"/>
      <x:c r="N22" s="41"/>
    </x:row>
    <x:row r="23">
      <x:c r="A23" s="42"/>
      <x:c r="B23" s="29"/>
      <x:c r="C23" s="29"/>
      <x:c r="D23" s="29"/>
      <x:c r="E23" s="29"/>
      <x:c r="F23" s="29"/>
      <x:c r="G23" s="29"/>
      <x:c r="H23" s="29"/>
      <x:c r="I23" s="29"/>
      <x:c r="J23" s="29"/>
      <x:c r="K23" s="29"/>
      <x:c r="L23" s="29"/>
      <x:c r="M23" s="29"/>
      <x:c r="N23" s="41"/>
    </x:row>
    <x:row r="24">
      <x:c r="A24" s="43"/>
      <x:c r="B24" s="44"/>
      <x:c r="C24" s="44"/>
      <x:c r="D24" s="44"/>
      <x:c r="E24" s="44"/>
      <x:c r="F24" s="44"/>
      <x:c r="G24" s="44"/>
      <x:c r="H24" s="44"/>
      <x:c r="I24" s="44"/>
      <x:c r="J24" s="44"/>
      <x:c r="K24" s="44"/>
      <x:c r="L24" s="44"/>
      <x:c r="M24" s="44"/>
      <x:c r="N24" s="46"/>
    </x:row>
  </x:sheetData>
  <x:mergeCells>
    <x:mergeCell ref="A1:N1"/>
    <x:mergeCell ref="A2:N2"/>
  </x:mergeCells>
  <x:dataValidations count="8">
    <x:dataValidation type="list" sqref="J4:J24">
      <x:formula1>"DIRECT,WITHIN-STUDY,QUALITATIVE"</x:formula1>
    </x:dataValidation>
    <x:dataValidation type="list" sqref="M4:M24">
      <x:formula1>"Not started,In progress,Awaiting approval,Complete,Retired"</x:formula1>
    </x:dataValidation>
    <x:dataValidation type="list" sqref="D4:D24">
      <x:formula1>"Yes,No,Not assessed"</x:formula1>
    </x:dataValidation>
    <x:dataValidation type="list" sqref="E4:E24">
      <x:formula1>"Yes,No,Not assessed"</x:formula1>
    </x:dataValidation>
    <x:dataValidation type="list" sqref="F4:F24">
      <x:formula1>"Yes,No,Not assessed"</x:formula1>
    </x:dataValidation>
    <x:dataValidation type="list" sqref="G4:G24">
      <x:formula1>"Yes,No,Not assessed"</x:formula1>
    </x:dataValidation>
    <x:dataValidation type="list" sqref="H4:H24">
      <x:formula1>"Yes,No,Not assessed"</x:formula1>
    </x:dataValidation>
    <x:dataValidation type="list" sqref="I4:I24">
      <x:formula1>"Yes,No,Not assessed"</x:formula1>
    </x:dataValidation>
  </x:dataValidations>
  <x:pageMargins left="0.7" right="0.7" top="0.75" bottom="0.75" header="0.3" footer="0.3"/>
  <x:tableParts count="1">
    <x:tablePart xmlns:r="http://schemas.openxmlformats.org/officeDocument/2006/relationships" r:id="R7c367fa117ec4f0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16" hidden="0" customWidth="1"/>
    <x:col min="4" max="4" width="14" hidden="0" customWidth="1"/>
    <x:col min="5" max="5" width="40" hidden="0" customWidth="1"/>
    <x:col min="6" max="6" width="33" hidden="0" customWidth="1"/>
    <x:col min="7" max="7" width="38" hidden="0" customWidth="1"/>
    <x:col min="8" max="8" width="12" hidden="0" customWidth="1"/>
    <x:col min="9" max="9" width="17" hidden="0" customWidth="1"/>
    <x:col min="10" max="10" width="14" hidden="0" customWidth="1"/>
    <x:col min="11" max="11" width="13" hidden="0" customWidth="1"/>
    <x:col min="12" max="12" width="15" hidden="0" customWidth="1"/>
  </x:cols>
  <x:sheetData>
    <x:row r="1" ht="24" customHeight="1">
      <x:c r="A1" s="34" t="str">
        <x:v>Unresolved</x:v>
      </x:c>
      <x:c r="B1" s="35"/>
      <x:c r="C1" s="35"/>
      <x:c r="D1" s="35"/>
      <x:c r="E1" s="35"/>
      <x:c r="F1" s="35"/>
      <x:c r="G1" s="35"/>
      <x:c r="H1" s="35"/>
      <x:c r="I1" s="35"/>
      <x:c r="J1" s="35"/>
      <x:c r="K1" s="35"/>
      <x:c r="L1" s="36"/>
    </x:row>
    <x:row r="2" ht="24" customHeight="1">
      <x:c r="A2" s="37" t="str">
        <x:v>Editable review matrix. Use controlled values where available; select other and fill the labelled taxonomy-extension detail only when needed.</x:v>
      </x:c>
      <x:c r="B2" s="38"/>
      <x:c r="C2" s="38"/>
      <x:c r="D2" s="38"/>
      <x:c r="E2" s="38"/>
      <x:c r="F2" s="38"/>
      <x:c r="G2" s="38"/>
      <x:c r="H2" s="38"/>
      <x:c r="I2" s="38"/>
      <x:c r="J2" s="38"/>
      <x:c r="K2" s="38"/>
      <x:c r="L2" s="39"/>
    </x:row>
    <x:row r="3" ht="24" customHeight="1">
      <x:c r="A3" s="20" t="str">
        <x:v>Issue ID</x:v>
      </x:c>
      <x:c r="B3" s="21" t="str">
        <x:v>Related Literature ID</x:v>
      </x:c>
      <x:c r="C3" s="21" t="str">
        <x:v>Related Evidence ID</x:v>
      </x:c>
      <x:c r="D3" s="21" t="str">
        <x:v>Related Claim ID</x:v>
      </x:c>
      <x:c r="E3" s="21" t="str">
        <x:v>Issue / missing detail</x:v>
      </x:c>
      <x:c r="F3" s="21" t="str">
        <x:v>Why it matters</x:v>
      </x:c>
      <x:c r="G3" s="21" t="str">
        <x:v>Verification source / next action</x:v>
      </x:c>
      <x:c r="H3" s="21" t="str">
        <x:v>Priority</x:v>
      </x:c>
      <x:c r="I3" s="21" t="str">
        <x:v>Review status</x:v>
      </x:c>
      <x:c r="J3" s="21" t="str">
        <x:v>Owner</x:v>
      </x:c>
      <x:c r="K3" s="21" t="str">
        <x:v>Date logged</x:v>
      </x:c>
      <x:c r="L3" s="22" t="str">
        <x:v>ID check</x:v>
      </x:c>
    </x:row>
    <x:row r="4" ht="48" customHeight="1">
      <x:c r="A4" s="47" t="str">
        <x:v>U001</x:v>
      </x:c>
      <x:c r="B4" s="48" t="str">
        <x:v>L030</x:v>
      </x:c>
      <x:c r="C4" s="48" t="str">
        <x:v>L030-E01</x:v>
      </x:c>
      <x:c r="D4" s="48" t="str"/>
      <x:c r="E4" s="48" t="str">
        <x:v>Full-text method and experiment details not yet extracted</x:v>
      </x:c>
      <x:c r="F4" s="48" t="str">
        <x:v>Required before mechanism synthesis, novelty boundary, or DIRECT comparison</x:v>
      </x:c>
      <x:c r="G4" s="48" t="str">
        <x:v>Resolve DOI 10.1016/j.cor.2026.107500 and inspect original full text</x:v>
      </x:c>
      <x:c r="H4" s="48" t="str">
        <x:v>High</x:v>
      </x:c>
      <x:c r="I4" s="48" t="str">
        <x:v>Open</x:v>
      </x:c>
      <x:c r="J4" s="48" t="str"/>
      <x:c r="K4" s="49" t="n">
        <x:v>46268</x:v>
      </x:c>
      <x:c r="L4" s="50" t="str">
        <x:f>IF(COUNTA(B4:K4)=0,"",IF(A4="","MISSING ID",IFERROR(IF(AND(LEFT(A4,1)="U",LEN(A4)=4,ISNUMBER(VALUE(RIGHT(A4,3)))),"OK","CHECK ID"),"CHECK ID")))</x:f>
        <x:v>OK</x:v>
      </x:c>
    </x:row>
    <x:row r="5" ht="48" customHeight="1">
      <x:c r="A5" s="54" t="str">
        <x:v>U002</x:v>
      </x:c>
      <x:c r="B5" s="55" t="str">
        <x:v>L031</x:v>
      </x:c>
      <x:c r="C5" s="55" t="str">
        <x:v>L031-E01</x:v>
      </x:c>
      <x:c r="D5" s="55" t="str"/>
      <x:c r="E5" s="55" t="str">
        <x:v>Full-text method and experiment details not yet extracted</x:v>
      </x:c>
      <x:c r="F5" s="55" t="str">
        <x:v>Required before mechanism synthesis, novelty boundary, or DIRECT comparison</x:v>
      </x:c>
      <x:c r="G5" s="55" t="str">
        <x:v>Resolve DOI 10.1016/j.eswa.2025.131024 and inspect original full text</x:v>
      </x:c>
      <x:c r="H5" s="55" t="str">
        <x:v>High</x:v>
      </x:c>
      <x:c r="I5" s="55" t="str">
        <x:v>Open</x:v>
      </x:c>
      <x:c r="J5" s="55" t="str"/>
      <x:c r="K5" s="56" t="n">
        <x:v>46268</x:v>
      </x:c>
      <x:c r="L5" s="57" t="str">
        <x:f>IF(COUNTA(B5:K5)=0,"",IF(A5="","MISSING ID",IFERROR(IF(AND(LEFT(A5,1)="U",LEN(A5)=4,ISNUMBER(VALUE(RIGHT(A5,3)))),"OK","CHECK ID"),"CHECK ID")))</x:f>
        <x:v>OK</x:v>
      </x:c>
    </x:row>
    <x:row r="6" ht="48" customHeight="1">
      <x:c r="A6" s="51" t="str">
        <x:v>U003</x:v>
      </x:c>
      <x:c r="B6" s="52" t="str">
        <x:v>L032</x:v>
      </x:c>
      <x:c r="C6" s="52" t="str">
        <x:v>L032-E01</x:v>
      </x:c>
      <x:c r="D6" s="52" t="str"/>
      <x:c r="E6" s="52" t="str">
        <x:v>Full-text method and experiment details not yet extracted</x:v>
      </x:c>
      <x:c r="F6" s="52" t="str">
        <x:v>Required before mechanism synthesis, novelty boundary, or DIRECT comparison</x:v>
      </x:c>
      <x:c r="G6" s="52" t="str">
        <x:v>Resolve DOI 10.1080/09544828.2026.2683729 and inspect original full text</x:v>
      </x:c>
      <x:c r="H6" s="52" t="str">
        <x:v>High</x:v>
      </x:c>
      <x:c r="I6" s="52" t="str">
        <x:v>Open</x:v>
      </x:c>
      <x:c r="J6" s="52" t="str"/>
      <x:c r="K6" s="53" t="n">
        <x:v>46268</x:v>
      </x:c>
      <x:c r="L6" s="50" t="str">
        <x:f>IF(COUNTA(B6:K6)=0,"",IF(A6="","MISSING ID",IFERROR(IF(AND(LEFT(A6,1)="U",LEN(A6)=4,ISNUMBER(VALUE(RIGHT(A6,3)))),"OK","CHECK ID"),"CHECK ID")))</x:f>
        <x:v>OK</x:v>
      </x:c>
    </x:row>
    <x:row r="7" ht="48" customHeight="1">
      <x:c r="A7" s="54" t="str">
        <x:v>U004</x:v>
      </x:c>
      <x:c r="B7" s="55" t="str">
        <x:v>L033</x:v>
      </x:c>
      <x:c r="C7" s="55" t="str">
        <x:v>L033-E01</x:v>
      </x:c>
      <x:c r="D7" s="55" t="str"/>
      <x:c r="E7" s="55" t="str">
        <x:v>Full-text method and experiment details not yet extracted</x:v>
      </x:c>
      <x:c r="F7" s="55" t="str">
        <x:v>Required before mechanism synthesis, novelty boundary, or DIRECT comparison</x:v>
      </x:c>
      <x:c r="G7" s="55" t="str">
        <x:v>Resolve DOI 10.1016/j.jmsy.2025.06.017 and inspect original full text</x:v>
      </x:c>
      <x:c r="H7" s="55" t="str">
        <x:v>High</x:v>
      </x:c>
      <x:c r="I7" s="55" t="str">
        <x:v>Open</x:v>
      </x:c>
      <x:c r="J7" s="55" t="str"/>
      <x:c r="K7" s="56" t="n">
        <x:v>46268</x:v>
      </x:c>
      <x:c r="L7" s="57" t="str">
        <x:f>IF(COUNTA(B7:K7)=0,"",IF(A7="","MISSING ID",IFERROR(IF(AND(LEFT(A7,1)="U",LEN(A7)=4,ISNUMBER(VALUE(RIGHT(A7,3)))),"OK","CHECK ID"),"CHECK ID")))</x:f>
        <x:v>OK</x:v>
      </x:c>
    </x:row>
    <x:row r="8" ht="48" customHeight="1">
      <x:c r="A8" s="51" t="str">
        <x:v>U005</x:v>
      </x:c>
      <x:c r="B8" s="52" t="str">
        <x:v>L034</x:v>
      </x:c>
      <x:c r="C8" s="52" t="str">
        <x:v>L034-E01</x:v>
      </x:c>
      <x:c r="D8" s="52" t="str"/>
      <x:c r="E8" s="52" t="str">
        <x:v>Full-text method and experiment details not yet extracted</x:v>
      </x:c>
      <x:c r="F8" s="52" t="str">
        <x:v>Required before mechanism synthesis, novelty boundary, or DIRECT comparison</x:v>
      </x:c>
      <x:c r="G8" s="52" t="str">
        <x:v>Resolve DOI 10.1016/j.engappai.2026.113866 and inspect original full text</x:v>
      </x:c>
      <x:c r="H8" s="52" t="str">
        <x:v>High</x:v>
      </x:c>
      <x:c r="I8" s="52" t="str">
        <x:v>Open</x:v>
      </x:c>
      <x:c r="J8" s="52" t="str"/>
      <x:c r="K8" s="53" t="n">
        <x:v>46268</x:v>
      </x:c>
      <x:c r="L8" s="50" t="str">
        <x:f>IF(COUNTA(B8:K8)=0,"",IF(A8="","MISSING ID",IFERROR(IF(AND(LEFT(A8,1)="U",LEN(A8)=4,ISNUMBER(VALUE(RIGHT(A8,3)))),"OK","CHECK ID"),"CHECK ID")))</x:f>
        <x:v>OK</x:v>
      </x:c>
    </x:row>
    <x:row r="9" ht="48" customHeight="1">
      <x:c r="A9" s="54" t="str">
        <x:v>U006</x:v>
      </x:c>
      <x:c r="B9" s="55" t="str">
        <x:v>L035</x:v>
      </x:c>
      <x:c r="C9" s="55" t="str">
        <x:v>L035-E01</x:v>
      </x:c>
      <x:c r="D9" s="55" t="str"/>
      <x:c r="E9" s="55" t="str">
        <x:v>Full-text method and experiment details not yet extracted</x:v>
      </x:c>
      <x:c r="F9" s="55" t="str">
        <x:v>Required before mechanism synthesis, novelty boundary, or DIRECT comparison</x:v>
      </x:c>
      <x:c r="G9" s="55" t="str">
        <x:v>Resolve DOI 10.1016/j.asoc.2026.115530 and inspect original full text</x:v>
      </x:c>
      <x:c r="H9" s="55" t="str">
        <x:v>High</x:v>
      </x:c>
      <x:c r="I9" s="55" t="str">
        <x:v>Open</x:v>
      </x:c>
      <x:c r="J9" s="55" t="str"/>
      <x:c r="K9" s="56" t="n">
        <x:v>46268</x:v>
      </x:c>
      <x:c r="L9" s="57" t="str">
        <x:f>IF(COUNTA(B9:K9)=0,"",IF(A9="","MISSING ID",IFERROR(IF(AND(LEFT(A9,1)="U",LEN(A9)=4,ISNUMBER(VALUE(RIGHT(A9,3)))),"OK","CHECK ID"),"CHECK ID")))</x:f>
        <x:v>OK</x:v>
      </x:c>
    </x:row>
    <x:row r="10" ht="48" customHeight="1">
      <x:c r="A10" s="51" t="str">
        <x:v>U007</x:v>
      </x:c>
      <x:c r="B10" s="52" t="str">
        <x:v>L036</x:v>
      </x:c>
      <x:c r="C10" s="52" t="str">
        <x:v>L036-E01</x:v>
      </x:c>
      <x:c r="D10" s="52" t="str"/>
      <x:c r="E10" s="52" t="str">
        <x:v>Full-text method and experiment details not yet extracted</x:v>
      </x:c>
      <x:c r="F10" s="52" t="str">
        <x:v>Required before mechanism synthesis, novelty boundary, or DIRECT comparison</x:v>
      </x:c>
      <x:c r="G10" s="52" t="str">
        <x:v>Resolve DOI 10.1016/j.eswa.2025.128142 and inspect original full text</x:v>
      </x:c>
      <x:c r="H10" s="52" t="str">
        <x:v>High</x:v>
      </x:c>
      <x:c r="I10" s="52" t="str">
        <x:v>Open</x:v>
      </x:c>
      <x:c r="J10" s="52" t="str"/>
      <x:c r="K10" s="53" t="n">
        <x:v>46268</x:v>
      </x:c>
      <x:c r="L10" s="50" t="str">
        <x:f>IF(COUNTA(B10:K10)=0,"",IF(A10="","MISSING ID",IFERROR(IF(AND(LEFT(A10,1)="U",LEN(A10)=4,ISNUMBER(VALUE(RIGHT(A10,3)))),"OK","CHECK ID"),"CHECK ID")))</x:f>
        <x:v>OK</x:v>
      </x:c>
    </x:row>
    <x:row r="11" ht="48" customHeight="1">
      <x:c r="A11" s="54" t="str">
        <x:v>U008</x:v>
      </x:c>
      <x:c r="B11" s="55" t="str">
        <x:v>L037</x:v>
      </x:c>
      <x:c r="C11" s="55" t="str">
        <x:v>L037-E01</x:v>
      </x:c>
      <x:c r="D11" s="55" t="str"/>
      <x:c r="E11" s="55" t="str">
        <x:v>Full-text method and experiment details not yet extracted</x:v>
      </x:c>
      <x:c r="F11" s="55" t="str">
        <x:v>Required before mechanism synthesis, novelty boundary, or DIRECT comparison</x:v>
      </x:c>
      <x:c r="G11" s="55" t="str">
        <x:v>Resolve DOI 10.1007/s40747-025-01828-6 and inspect original full text</x:v>
      </x:c>
      <x:c r="H11" s="55" t="str">
        <x:v>High</x:v>
      </x:c>
      <x:c r="I11" s="55" t="str">
        <x:v>Open</x:v>
      </x:c>
      <x:c r="J11" s="55" t="str"/>
      <x:c r="K11" s="56" t="n">
        <x:v>46268</x:v>
      </x:c>
      <x:c r="L11" s="57" t="str">
        <x:f>IF(COUNTA(B11:K11)=0,"",IF(A11="","MISSING ID",IFERROR(IF(AND(LEFT(A11,1)="U",LEN(A11)=4,ISNUMBER(VALUE(RIGHT(A11,3)))),"OK","CHECK ID"),"CHECK ID")))</x:f>
        <x:v>OK</x:v>
      </x:c>
    </x:row>
    <x:row r="12" ht="48" customHeight="1">
      <x:c r="A12" s="51" t="str">
        <x:v>U009</x:v>
      </x:c>
      <x:c r="B12" s="52" t="str">
        <x:v>L038</x:v>
      </x:c>
      <x:c r="C12" s="52" t="str">
        <x:v>L038-E01</x:v>
      </x:c>
      <x:c r="D12" s="52" t="str"/>
      <x:c r="E12" s="52" t="str">
        <x:v>Full-text method and experiment details not yet extracted</x:v>
      </x:c>
      <x:c r="F12" s="52" t="str">
        <x:v>Required before mechanism synthesis, novelty boundary, or DIRECT comparison</x:v>
      </x:c>
      <x:c r="G12" s="52" t="str">
        <x:v>Resolve DOI 10.1016/j.swevo.2024.101834 and inspect original full text</x:v>
      </x:c>
      <x:c r="H12" s="52" t="str">
        <x:v>High</x:v>
      </x:c>
      <x:c r="I12" s="52" t="str">
        <x:v>Open</x:v>
      </x:c>
      <x:c r="J12" s="52" t="str"/>
      <x:c r="K12" s="53" t="n">
        <x:v>46268</x:v>
      </x:c>
      <x:c r="L12" s="50" t="str">
        <x:f>IF(COUNTA(B12:K12)=0,"",IF(A12="","MISSING ID",IFERROR(IF(AND(LEFT(A12,1)="U",LEN(A12)=4,ISNUMBER(VALUE(RIGHT(A12,3)))),"OK","CHECK ID"),"CHECK ID")))</x:f>
        <x:v>OK</x:v>
      </x:c>
    </x:row>
    <x:row r="13" ht="48" customHeight="1">
      <x:c r="A13" s="54" t="str">
        <x:v>U010</x:v>
      </x:c>
      <x:c r="B13" s="55" t="str">
        <x:v>L039</x:v>
      </x:c>
      <x:c r="C13" s="55" t="str">
        <x:v>L039-E01</x:v>
      </x:c>
      <x:c r="D13" s="55" t="str"/>
      <x:c r="E13" s="55" t="str">
        <x:v>Full-text method and experiment details not yet extracted</x:v>
      </x:c>
      <x:c r="F13" s="55" t="str">
        <x:v>Required before mechanism synthesis, novelty boundary, or DIRECT comparison</x:v>
      </x:c>
      <x:c r="G13" s="55" t="str">
        <x:v>Resolve DOI 10.1016/j.cor.2025.107087 and inspect original full text</x:v>
      </x:c>
      <x:c r="H13" s="55" t="str">
        <x:v>High</x:v>
      </x:c>
      <x:c r="I13" s="55" t="str">
        <x:v>Open</x:v>
      </x:c>
      <x:c r="J13" s="55" t="str"/>
      <x:c r="K13" s="56" t="n">
        <x:v>46268</x:v>
      </x:c>
      <x:c r="L13" s="57" t="str">
        <x:f>IF(COUNTA(B13:K13)=0,"",IF(A13="","MISSING ID",IFERROR(IF(AND(LEFT(A13,1)="U",LEN(A13)=4,ISNUMBER(VALUE(RIGHT(A13,3)))),"OK","CHECK ID"),"CHECK ID")))</x:f>
        <x:v>OK</x:v>
      </x:c>
    </x:row>
    <x:row r="14" ht="48" customHeight="1">
      <x:c r="A14" s="51" t="str">
        <x:v>U011</x:v>
      </x:c>
      <x:c r="B14" s="52" t="str">
        <x:v>L040</x:v>
      </x:c>
      <x:c r="C14" s="52" t="str">
        <x:v>L040-E01</x:v>
      </x:c>
      <x:c r="D14" s="52" t="str"/>
      <x:c r="E14" s="52" t="str">
        <x:v>Full-text method and experiment details not yet extracted</x:v>
      </x:c>
      <x:c r="F14" s="52" t="str">
        <x:v>Required before mechanism synthesis, novelty boundary, or DIRECT comparison</x:v>
      </x:c>
      <x:c r="G14" s="52" t="str">
        <x:v>Resolve DOI 10.1016/j.swevo.2025.101885 and inspect original full text</x:v>
      </x:c>
      <x:c r="H14" s="52" t="str">
        <x:v>High</x:v>
      </x:c>
      <x:c r="I14" s="52" t="str">
        <x:v>Open</x:v>
      </x:c>
      <x:c r="J14" s="52" t="str"/>
      <x:c r="K14" s="53" t="n">
        <x:v>46268</x:v>
      </x:c>
      <x:c r="L14" s="50" t="str">
        <x:f>IF(COUNTA(B14:K14)=0,"",IF(A14="","MISSING ID",IFERROR(IF(AND(LEFT(A14,1)="U",LEN(A14)=4,ISNUMBER(VALUE(RIGHT(A14,3)))),"OK","CHECK ID"),"CHECK ID")))</x:f>
        <x:v>OK</x:v>
      </x:c>
    </x:row>
    <x:row r="15" ht="48" customHeight="1">
      <x:c r="A15" s="54" t="str">
        <x:v>U012</x:v>
      </x:c>
      <x:c r="B15" s="55" t="str">
        <x:v>L041</x:v>
      </x:c>
      <x:c r="C15" s="55" t="str">
        <x:v>L041-E01</x:v>
      </x:c>
      <x:c r="D15" s="55" t="str"/>
      <x:c r="E15" s="55" t="str">
        <x:v>Full-text method and experiment details not yet extracted</x:v>
      </x:c>
      <x:c r="F15" s="55" t="str">
        <x:v>Required before mechanism synthesis, novelty boundary, or DIRECT comparison</x:v>
      </x:c>
      <x:c r="G15" s="55" t="str">
        <x:v>Resolve DOI 10.1016/j.cie.2025.111465 and inspect original full text</x:v>
      </x:c>
      <x:c r="H15" s="55" t="str">
        <x:v>High</x:v>
      </x:c>
      <x:c r="I15" s="55" t="str">
        <x:v>Open</x:v>
      </x:c>
      <x:c r="J15" s="55" t="str"/>
      <x:c r="K15" s="56" t="n">
        <x:v>46268</x:v>
      </x:c>
      <x:c r="L15" s="57" t="str">
        <x:f>IF(COUNTA(B15:K15)=0,"",IF(A15="","MISSING ID",IFERROR(IF(AND(LEFT(A15,1)="U",LEN(A15)=4,ISNUMBER(VALUE(RIGHT(A15,3)))),"OK","CHECK ID"),"CHECK ID")))</x:f>
        <x:v>OK</x:v>
      </x:c>
    </x:row>
    <x:row r="16" ht="48" customHeight="1">
      <x:c r="A16" s="51" t="str">
        <x:v>U013</x:v>
      </x:c>
      <x:c r="B16" s="52" t="str">
        <x:v>L042</x:v>
      </x:c>
      <x:c r="C16" s="52" t="str">
        <x:v>L042-E01</x:v>
      </x:c>
      <x:c r="D16" s="52" t="str"/>
      <x:c r="E16" s="52" t="str">
        <x:v>Full-text method and experiment details not yet extracted</x:v>
      </x:c>
      <x:c r="F16" s="52" t="str">
        <x:v>Required before mechanism synthesis, novelty boundary, or DIRECT comparison</x:v>
      </x:c>
      <x:c r="G16" s="52" t="str">
        <x:v>Resolve DOI 10.1109/access.2025.3535825 and inspect original full text</x:v>
      </x:c>
      <x:c r="H16" s="52" t="str">
        <x:v>High</x:v>
      </x:c>
      <x:c r="I16" s="52" t="str">
        <x:v>Open</x:v>
      </x:c>
      <x:c r="J16" s="52" t="str"/>
      <x:c r="K16" s="53" t="n">
        <x:v>46268</x:v>
      </x:c>
      <x:c r="L16" s="50" t="str">
        <x:f>IF(COUNTA(B16:K16)=0,"",IF(A16="","MISSING ID",IFERROR(IF(AND(LEFT(A16,1)="U",LEN(A16)=4,ISNUMBER(VALUE(RIGHT(A16,3)))),"OK","CHECK ID"),"CHECK ID")))</x:f>
        <x:v>OK</x:v>
      </x:c>
    </x:row>
    <x:row r="17" ht="48" customHeight="1">
      <x:c r="A17" s="54" t="str">
        <x:v>U014</x:v>
      </x:c>
      <x:c r="B17" s="55" t="str">
        <x:v>L043</x:v>
      </x:c>
      <x:c r="C17" s="55" t="str">
        <x:v>L043-E01</x:v>
      </x:c>
      <x:c r="D17" s="55" t="str"/>
      <x:c r="E17" s="55" t="str">
        <x:v>Full-text method and experiment details not yet extracted</x:v>
      </x:c>
      <x:c r="F17" s="55" t="str">
        <x:v>Required before mechanism synthesis, novelty boundary, or DIRECT comparison</x:v>
      </x:c>
      <x:c r="G17" s="55" t="str">
        <x:v>Resolve DOI 10.2139/ssrn.5666918 and inspect original full text</x:v>
      </x:c>
      <x:c r="H17" s="55" t="str">
        <x:v>High</x:v>
      </x:c>
      <x:c r="I17" s="55" t="str">
        <x:v>Open</x:v>
      </x:c>
      <x:c r="J17" s="55" t="str"/>
      <x:c r="K17" s="56" t="n">
        <x:v>46268</x:v>
      </x:c>
      <x:c r="L17" s="57" t="str">
        <x:f>IF(COUNTA(B17:K17)=0,"",IF(A17="","MISSING ID",IFERROR(IF(AND(LEFT(A17,1)="U",LEN(A17)=4,ISNUMBER(VALUE(RIGHT(A17,3)))),"OK","CHECK ID"),"CHECK ID")))</x:f>
        <x:v>OK</x:v>
      </x:c>
    </x:row>
    <x:row r="18" ht="48" customHeight="1">
      <x:c r="A18" s="51" t="str">
        <x:v>U015</x:v>
      </x:c>
      <x:c r="B18" s="52" t="str">
        <x:v>L044</x:v>
      </x:c>
      <x:c r="C18" s="52" t="str">
        <x:v>L044-E01</x:v>
      </x:c>
      <x:c r="D18" s="52" t="str"/>
      <x:c r="E18" s="52" t="str">
        <x:v>Full-text method and experiment details not yet extracted</x:v>
      </x:c>
      <x:c r="F18" s="52" t="str">
        <x:v>Required before mechanism synthesis, novelty boundary, or DIRECT comparison</x:v>
      </x:c>
      <x:c r="G18" s="52" t="str">
        <x:v>Resolve DOI 10.1109/tsmc.2024.3520381 and inspect original full text</x:v>
      </x:c>
      <x:c r="H18" s="52" t="str">
        <x:v>High</x:v>
      </x:c>
      <x:c r="I18" s="52" t="str">
        <x:v>Open</x:v>
      </x:c>
      <x:c r="J18" s="52" t="str"/>
      <x:c r="K18" s="53" t="n">
        <x:v>46268</x:v>
      </x:c>
      <x:c r="L18" s="50" t="str">
        <x:f>IF(COUNTA(B18:K18)=0,"",IF(A18="","MISSING ID",IFERROR(IF(AND(LEFT(A18,1)="U",LEN(A18)=4,ISNUMBER(VALUE(RIGHT(A18,3)))),"OK","CHECK ID"),"CHECK ID")))</x:f>
        <x:v>OK</x:v>
      </x:c>
    </x:row>
    <x:row r="19" ht="48" customHeight="1">
      <x:c r="A19" s="54" t="str">
        <x:v>U016</x:v>
      </x:c>
      <x:c r="B19" s="55" t="str">
        <x:v>L045</x:v>
      </x:c>
      <x:c r="C19" s="55" t="str">
        <x:v>L045-E01</x:v>
      </x:c>
      <x:c r="D19" s="55" t="str"/>
      <x:c r="E19" s="55" t="str">
        <x:v>Full-text method and experiment details not yet extracted</x:v>
      </x:c>
      <x:c r="F19" s="55" t="str">
        <x:v>Required before mechanism synthesis, novelty boundary, or DIRECT comparison</x:v>
      </x:c>
      <x:c r="G19" s="55" t="str">
        <x:v>Resolve DOI 10.1080/03081079.2025.2548921 and inspect original full text</x:v>
      </x:c>
      <x:c r="H19" s="55" t="str">
        <x:v>High</x:v>
      </x:c>
      <x:c r="I19" s="55" t="str">
        <x:v>Open</x:v>
      </x:c>
      <x:c r="J19" s="55" t="str"/>
      <x:c r="K19" s="56" t="n">
        <x:v>46268</x:v>
      </x:c>
      <x:c r="L19" s="57" t="str">
        <x:f>IF(COUNTA(B19:K19)=0,"",IF(A19="","MISSING ID",IFERROR(IF(AND(LEFT(A19,1)="U",LEN(A19)=4,ISNUMBER(VALUE(RIGHT(A19,3)))),"OK","CHECK ID"),"CHECK ID")))</x:f>
        <x:v>OK</x:v>
      </x:c>
    </x:row>
    <x:row r="20" ht="48" customHeight="1">
      <x:c r="A20" s="51" t="str">
        <x:v>U017</x:v>
      </x:c>
      <x:c r="B20" s="52" t="str">
        <x:v>L001</x:v>
      </x:c>
      <x:c r="C20" s="52" t="str">
        <x:v>L001-E01</x:v>
      </x:c>
      <x:c r="D20" s="52" t="str"/>
      <x:c r="E20" s="52" t="str">
        <x:v>Full-text method and experiment details not yet extracted</x:v>
      </x:c>
      <x:c r="F20" s="52" t="str">
        <x:v>Required before mechanism synthesis, novelty boundary, or DIRECT comparison</x:v>
      </x:c>
      <x:c r="G20" s="52" t="str">
        <x:v>Resolve DOI 10.1016/j.swevo.2024.101658 and inspect original full text</x:v>
      </x:c>
      <x:c r="H20" s="52" t="str">
        <x:v>High</x:v>
      </x:c>
      <x:c r="I20" s="52" t="str">
        <x:v>Open</x:v>
      </x:c>
      <x:c r="J20" s="52" t="str"/>
      <x:c r="K20" s="53" t="n">
        <x:v>46268</x:v>
      </x:c>
      <x:c r="L20" s="50" t="str">
        <x:f>IF(COUNTA(B20:K20)=0,"",IF(A20="","MISSING ID",IFERROR(IF(AND(LEFT(A20,1)="U",LEN(A20)=4,ISNUMBER(VALUE(RIGHT(A20,3)))),"OK","CHECK ID"),"CHECK ID")))</x:f>
        <x:v>OK</x:v>
      </x:c>
    </x:row>
    <x:row r="21" ht="48" customHeight="1">
      <x:c r="A21" s="54" t="str">
        <x:v>U018</x:v>
      </x:c>
      <x:c r="B21" s="55" t="str">
        <x:v>L046</x:v>
      </x:c>
      <x:c r="C21" s="55" t="str">
        <x:v>L046-E01</x:v>
      </x:c>
      <x:c r="D21" s="55" t="str"/>
      <x:c r="E21" s="55" t="str">
        <x:v>Full-text method and experiment details not yet extracted</x:v>
      </x:c>
      <x:c r="F21" s="55" t="str">
        <x:v>Required before mechanism synthesis, novelty boundary, or DIRECT comparison</x:v>
      </x:c>
      <x:c r="G21" s="55" t="str">
        <x:v>Resolve DOI 10.1016/j.cie.2024.109917 and inspect original full text</x:v>
      </x:c>
      <x:c r="H21" s="55" t="str">
        <x:v>High</x:v>
      </x:c>
      <x:c r="I21" s="55" t="str">
        <x:v>Open</x:v>
      </x:c>
      <x:c r="J21" s="55" t="str"/>
      <x:c r="K21" s="56" t="n">
        <x:v>46268</x:v>
      </x:c>
      <x:c r="L21" s="57" t="str">
        <x:f>IF(COUNTA(B21:K21)=0,"",IF(A21="","MISSING ID",IFERROR(IF(AND(LEFT(A21,1)="U",LEN(A21)=4,ISNUMBER(VALUE(RIGHT(A21,3)))),"OK","CHECK ID"),"CHECK ID")))</x:f>
        <x:v>OK</x:v>
      </x:c>
    </x:row>
    <x:row r="22" ht="48" customHeight="1">
      <x:c r="A22" s="51" t="str">
        <x:v>U019</x:v>
      </x:c>
      <x:c r="B22" s="52" t="str">
        <x:v>L047</x:v>
      </x:c>
      <x:c r="C22" s="52" t="str">
        <x:v>L047-E01</x:v>
      </x:c>
      <x:c r="D22" s="52" t="str"/>
      <x:c r="E22" s="52" t="str">
        <x:v>Full-text method and experiment details not yet extracted</x:v>
      </x:c>
      <x:c r="F22" s="52" t="str">
        <x:v>Required before mechanism synthesis, novelty boundary, or DIRECT comparison</x:v>
      </x:c>
      <x:c r="G22" s="52" t="str">
        <x:v>Resolve DOI 10.3390/pr12112423 and inspect original full text</x:v>
      </x:c>
      <x:c r="H22" s="52" t="str">
        <x:v>High</x:v>
      </x:c>
      <x:c r="I22" s="52" t="str">
        <x:v>Open</x:v>
      </x:c>
      <x:c r="J22" s="52" t="str"/>
      <x:c r="K22" s="53" t="n">
        <x:v>46268</x:v>
      </x:c>
      <x:c r="L22" s="50" t="str">
        <x:f>IF(COUNTA(B22:K22)=0,"",IF(A22="","MISSING ID",IFERROR(IF(AND(LEFT(A22,1)="U",LEN(A22)=4,ISNUMBER(VALUE(RIGHT(A22,3)))),"OK","CHECK ID"),"CHECK ID")))</x:f>
        <x:v>OK</x:v>
      </x:c>
    </x:row>
    <x:row r="23" ht="48" customHeight="1">
      <x:c r="A23" s="54" t="str">
        <x:v>U020</x:v>
      </x:c>
      <x:c r="B23" s="55" t="str">
        <x:v>L027</x:v>
      </x:c>
      <x:c r="C23" s="55" t="str">
        <x:v>L027-E01</x:v>
      </x:c>
      <x:c r="D23" s="55" t="str"/>
      <x:c r="E23" s="55" t="str">
        <x:v>Full-text method and experiment details not yet extracted</x:v>
      </x:c>
      <x:c r="F23" s="55" t="str">
        <x:v>Required before mechanism synthesis, novelty boundary, or DIRECT comparison</x:v>
      </x:c>
      <x:c r="G23" s="55" t="str">
        <x:v>Resolve DOI 10.1038/s41598-024-79593-8 and inspect original full text</x:v>
      </x:c>
      <x:c r="H23" s="55" t="str">
        <x:v>High</x:v>
      </x:c>
      <x:c r="I23" s="55" t="str">
        <x:v>Open</x:v>
      </x:c>
      <x:c r="J23" s="55" t="str"/>
      <x:c r="K23" s="56" t="n">
        <x:v>46268</x:v>
      </x:c>
      <x:c r="L23" s="57" t="str">
        <x:f>IF(COUNTA(B23:K23)=0,"",IF(A23="","MISSING ID",IFERROR(IF(AND(LEFT(A23,1)="U",LEN(A23)=4,ISNUMBER(VALUE(RIGHT(A23,3)))),"OK","CHECK ID"),"CHECK ID")))</x:f>
        <x:v>OK</x:v>
      </x:c>
    </x:row>
    <x:row r="24" ht="48" customHeight="1">
      <x:c r="A24" s="59" t="str">
        <x:v>U021</x:v>
      </x:c>
      <x:c r="B24" s="60" t="str">
        <x:v>L048</x:v>
      </x:c>
      <x:c r="C24" s="60" t="str">
        <x:v>L048-E01</x:v>
      </x:c>
      <x:c r="D24" s="60" t="str"/>
      <x:c r="E24" s="60" t="str">
        <x:v>Full-text method and experiment details not yet extracted</x:v>
      </x:c>
      <x:c r="F24" s="60" t="str">
        <x:v>Required before mechanism synthesis, novelty boundary, or DIRECT comparison</x:v>
      </x:c>
      <x:c r="G24" s="60" t="str">
        <x:v>Inspect stable source https://arxiv.org/abs/2402.08979</x:v>
      </x:c>
      <x:c r="H24" s="60" t="str">
        <x:v>High</x:v>
      </x:c>
      <x:c r="I24" s="60" t="str">
        <x:v>Open</x:v>
      </x:c>
      <x:c r="J24" s="60" t="str"/>
      <x:c r="K24" s="64" t="n">
        <x:v>46268</x:v>
      </x:c>
      <x:c r="L24" s="61" t="str">
        <x:f>IF(COUNTA(B24:K24)=0,"",IF(A24="","MISSING ID",IFERROR(IF(AND(LEFT(A24,1)="U",LEN(A24)=4,ISNUMBER(VALUE(RIGHT(A24,3)))),"OK","CHECK ID"),"CHECK ID")))</x:f>
        <x:v>OK</x:v>
      </x:c>
    </x:row>
    <x:row r="25" ht="48" customHeight="1">
      <x:c r="A25" s="63" t="str">
        <x:v>U022</x:v>
      </x:c>
      <x:c r="B25" s="63" t="str">
        <x:v>L049</x:v>
      </x:c>
      <x:c r="C25" s="63" t="str">
        <x:v>L049-E01</x:v>
      </x:c>
      <x:c r="D25" s="63" t="str"/>
      <x:c r="E25" s="63" t="str">
        <x:v>Full-text method and experiment details not yet extracted</x:v>
      </x:c>
      <x:c r="F25" s="63" t="str">
        <x:v>Required before mechanism synthesis, novelty boundary, or DIRECT comparison</x:v>
      </x:c>
      <x:c r="G25" s="63" t="str">
        <x:v>Resolve DOI 10.1016/j.engappai.2024.107917 and inspect original full text</x:v>
      </x:c>
      <x:c r="H25" s="63" t="str">
        <x:v>High</x:v>
      </x:c>
      <x:c r="I25" s="63" t="str">
        <x:v>Open</x:v>
      </x:c>
      <x:c r="J25" s="63" t="str"/>
      <x:c r="K25" s="63" t="n">
        <x:v>46268</x:v>
      </x:c>
      <x:c r="L25" s="63" t="str">
        <x:f>IF(COUNTA(B25:K25)=0,"",IF(A25="","MISSING ID",IFERROR(IF(AND(LEFT(A25,1)="U",LEN(A25)=4,ISNUMBER(VALUE(RIGHT(A25,3)))),"OK","CHECK ID"),"CHECK ID")))</x:f>
        <x:v>OK</x:v>
      </x:c>
    </x:row>
    <x:row r="26" ht="48" customHeight="1">
      <x:c r="A26" s="62" t="str">
        <x:v>U023</x:v>
      </x:c>
      <x:c r="B26" s="62" t="str">
        <x:v>L050</x:v>
      </x:c>
      <x:c r="C26" s="62" t="str">
        <x:v>L050-E01</x:v>
      </x:c>
      <x:c r="D26" s="62" t="str"/>
      <x:c r="E26" s="62" t="str">
        <x:v>Full-text method and experiment details not yet extracted</x:v>
      </x:c>
      <x:c r="F26" s="62" t="str">
        <x:v>Required before mechanism synthesis, novelty boundary, or DIRECT comparison</x:v>
      </x:c>
      <x:c r="G26" s="62" t="str">
        <x:v>Resolve DOI 10.1016/j.cie.2023.109718 and inspect original full text</x:v>
      </x:c>
      <x:c r="H26" s="62" t="str">
        <x:v>High</x:v>
      </x:c>
      <x:c r="I26" s="62" t="str">
        <x:v>Open</x:v>
      </x:c>
      <x:c r="J26" s="62" t="str"/>
      <x:c r="K26" s="62" t="n">
        <x:v>46268</x:v>
      </x:c>
      <x:c r="L26" s="62" t="str">
        <x:f>IF(COUNTA(B26:K26)=0,"",IF(A26="","MISSING ID",IFERROR(IF(AND(LEFT(A26,1)="U",LEN(A26)=4,ISNUMBER(VALUE(RIGHT(A26,3)))),"OK","CHECK ID"),"CHECK ID")))</x:f>
        <x:v>OK</x:v>
      </x:c>
    </x:row>
    <x:row r="27" ht="48" customHeight="1">
      <x:c r="A27" s="63" t="str">
        <x:v>U024</x:v>
      </x:c>
      <x:c r="B27" s="63" t="str">
        <x:v>L051</x:v>
      </x:c>
      <x:c r="C27" s="63" t="str">
        <x:v>L051-E01</x:v>
      </x:c>
      <x:c r="D27" s="63" t="str"/>
      <x:c r="E27" s="63" t="str">
        <x:v>Full-text method and experiment details not yet extracted</x:v>
      </x:c>
      <x:c r="F27" s="63" t="str">
        <x:v>Required before mechanism synthesis, novelty boundary, or DIRECT comparison</x:v>
      </x:c>
      <x:c r="G27" s="63" t="str">
        <x:v>Resolve DOI 10.1109/iecon51785.2023.10312647 and inspect original full text</x:v>
      </x:c>
      <x:c r="H27" s="63" t="str">
        <x:v>High</x:v>
      </x:c>
      <x:c r="I27" s="63" t="str">
        <x:v>Open</x:v>
      </x:c>
      <x:c r="J27" s="63" t="str"/>
      <x:c r="K27" s="63" t="n">
        <x:v>46268</x:v>
      </x:c>
      <x:c r="L27" s="63" t="str">
        <x:f>IF(COUNTA(B27:K27)=0,"",IF(A27="","MISSING ID",IFERROR(IF(AND(LEFT(A27,1)="U",LEN(A27)=4,ISNUMBER(VALUE(RIGHT(A27,3)))),"OK","CHECK ID"),"CHECK ID")))</x:f>
        <x:v>OK</x:v>
      </x:c>
    </x:row>
    <x:row r="28" ht="48" customHeight="1">
      <x:c r="A28" s="62" t="str">
        <x:v>U025</x:v>
      </x:c>
      <x:c r="B28" s="62" t="str">
        <x:v>L052</x:v>
      </x:c>
      <x:c r="C28" s="62" t="str">
        <x:v>L052-E01</x:v>
      </x:c>
      <x:c r="D28" s="62" t="str"/>
      <x:c r="E28" s="62" t="str">
        <x:v>Full-text method and experiment details not yet extracted</x:v>
      </x:c>
      <x:c r="F28" s="62" t="str">
        <x:v>Required before mechanism synthesis, novelty boundary, or DIRECT comparison</x:v>
      </x:c>
      <x:c r="G28" s="62" t="str">
        <x:v>Resolve DOI 10.1109/tevc.2022.3219238 and inspect original full text</x:v>
      </x:c>
      <x:c r="H28" s="62" t="str">
        <x:v>High</x:v>
      </x:c>
      <x:c r="I28" s="62" t="str">
        <x:v>Open</x:v>
      </x:c>
      <x:c r="J28" s="62" t="str"/>
      <x:c r="K28" s="62" t="n">
        <x:v>46268</x:v>
      </x:c>
      <x:c r="L28" s="62" t="str">
        <x:f>IF(COUNTA(B28:K28)=0,"",IF(A28="","MISSING ID",IFERROR(IF(AND(LEFT(A28,1)="U",LEN(A28)=4,ISNUMBER(VALUE(RIGHT(A28,3)))),"OK","CHECK ID"),"CHECK ID")))</x:f>
        <x:v>OK</x:v>
      </x:c>
    </x:row>
    <x:row r="29" ht="48" customHeight="1">
      <x:c r="A29" s="63" t="str">
        <x:v>U026</x:v>
      </x:c>
      <x:c r="B29" s="63" t="str">
        <x:v>L053</x:v>
      </x:c>
      <x:c r="C29" s="63" t="str">
        <x:v>L053-E01</x:v>
      </x:c>
      <x:c r="D29" s="63" t="str"/>
      <x:c r="E29" s="63" t="str">
        <x:v>Full-text method and experiment details not yet extracted</x:v>
      </x:c>
      <x:c r="F29" s="63" t="str">
        <x:v>Required before mechanism synthesis, novelty boundary, or DIRECT comparison</x:v>
      </x:c>
      <x:c r="G29" s="63" t="str">
        <x:v>Resolve DOI 10.1016/j.procir.2022.09.039 and inspect original full text</x:v>
      </x:c>
      <x:c r="H29" s="63" t="str">
        <x:v>High</x:v>
      </x:c>
      <x:c r="I29" s="63" t="str">
        <x:v>Open</x:v>
      </x:c>
      <x:c r="J29" s="63" t="str"/>
      <x:c r="K29" s="63" t="n">
        <x:v>46268</x:v>
      </x:c>
      <x:c r="L29" s="63" t="str">
        <x:f>IF(COUNTA(B29:K29)=0,"",IF(A29="","MISSING ID",IFERROR(IF(AND(LEFT(A29,1)="U",LEN(A29)=4,ISNUMBER(VALUE(RIGHT(A29,3)))),"OK","CHECK ID"),"CHECK ID")))</x:f>
        <x:v>OK</x:v>
      </x:c>
    </x:row>
    <x:row r="30" ht="48" customHeight="1">
      <x:c r="A30" s="62" t="str">
        <x:v>U027</x:v>
      </x:c>
      <x:c r="B30" s="62" t="str">
        <x:v>L054</x:v>
      </x:c>
      <x:c r="C30" s="62" t="str">
        <x:v>L054-E01</x:v>
      </x:c>
      <x:c r="D30" s="62" t="str"/>
      <x:c r="E30" s="62" t="str">
        <x:v>Full-text method and experiment details not yet extracted</x:v>
      </x:c>
      <x:c r="F30" s="62" t="str">
        <x:v>Required before mechanism synthesis, novelty boundary, or DIRECT comparison</x:v>
      </x:c>
      <x:c r="G30" s="62" t="str">
        <x:v>Resolve DOI 10.1109/mlise54096.2021.00049 and inspect original full text</x:v>
      </x:c>
      <x:c r="H30" s="62" t="str">
        <x:v>High</x:v>
      </x:c>
      <x:c r="I30" s="62" t="str">
        <x:v>Open</x:v>
      </x:c>
      <x:c r="J30" s="62" t="str"/>
      <x:c r="K30" s="62" t="n">
        <x:v>46268</x:v>
      </x:c>
      <x:c r="L30" s="62" t="str">
        <x:f>IF(COUNTA(B30:K30)=0,"",IF(A30="","MISSING ID",IFERROR(IF(AND(LEFT(A30,1)="U",LEN(A30)=4,ISNUMBER(VALUE(RIGHT(A30,3)))),"OK","CHECK ID"),"CHECK ID")))</x:f>
        <x:v>OK</x:v>
      </x:c>
    </x:row>
    <x:row r="31" ht="48" customHeight="1">
      <x:c r="A31" s="63" t="str">
        <x:v>U028</x:v>
      </x:c>
      <x:c r="B31" s="63" t="str">
        <x:v>L055</x:v>
      </x:c>
      <x:c r="C31" s="63" t="str">
        <x:v>L055-E01</x:v>
      </x:c>
      <x:c r="D31" s="63" t="str"/>
      <x:c r="E31" s="63" t="str">
        <x:v>Full-text method and experiment details not yet extracted</x:v>
      </x:c>
      <x:c r="F31" s="63" t="str">
        <x:v>Required before mechanism synthesis, novelty boundary, or DIRECT comparison</x:v>
      </x:c>
      <x:c r="G31" s="63" t="str">
        <x:v>Resolve DOI 10.1016/j.procir.2021.11.257 and inspect original full text</x:v>
      </x:c>
      <x:c r="H31" s="63" t="str">
        <x:v>High</x:v>
      </x:c>
      <x:c r="I31" s="63" t="str">
        <x:v>Open</x:v>
      </x:c>
      <x:c r="J31" s="63" t="str"/>
      <x:c r="K31" s="63" t="n">
        <x:v>46268</x:v>
      </x:c>
      <x:c r="L31" s="63" t="str">
        <x:f>IF(COUNTA(B31:K31)=0,"",IF(A31="","MISSING ID",IFERROR(IF(AND(LEFT(A31,1)="U",LEN(A31)=4,ISNUMBER(VALUE(RIGHT(A31,3)))),"OK","CHECK ID"),"CHECK ID")))</x:f>
        <x:v>OK</x:v>
      </x:c>
    </x:row>
    <x:row r="32" ht="48" customHeight="1">
      <x:c r="A32" s="62" t="str">
        <x:v>U029</x:v>
      </x:c>
      <x:c r="B32" s="62" t="str">
        <x:v>L056</x:v>
      </x:c>
      <x:c r="C32" s="62" t="str">
        <x:v>L056-E01</x:v>
      </x:c>
      <x:c r="D32" s="62" t="str"/>
      <x:c r="E32" s="62" t="str">
        <x:v>Full-text method and experiment details not yet extracted</x:v>
      </x:c>
      <x:c r="F32" s="62" t="str">
        <x:v>Required before mechanism synthesis, novelty boundary, or DIRECT comparison</x:v>
      </x:c>
      <x:c r="G32" s="62" t="str">
        <x:v>Resolve DOI 10.1080/00207543.2025.2612155 and inspect original full text</x:v>
      </x:c>
      <x:c r="H32" s="62" t="str">
        <x:v>Medium</x:v>
      </x:c>
      <x:c r="I32" s="62" t="str">
        <x:v>Open</x:v>
      </x:c>
      <x:c r="J32" s="62" t="str"/>
      <x:c r="K32" s="62" t="n">
        <x:v>46268</x:v>
      </x:c>
      <x:c r="L32" s="62" t="str">
        <x:f>IF(COUNTA(B32:K32)=0,"",IF(A32="","MISSING ID",IFERROR(IF(AND(LEFT(A32,1)="U",LEN(A32)=4,ISNUMBER(VALUE(RIGHT(A32,3)))),"OK","CHECK ID"),"CHECK ID")))</x:f>
        <x:v>OK</x:v>
      </x:c>
    </x:row>
    <x:row r="33" ht="48" customHeight="1">
      <x:c r="A33" s="63" t="str">
        <x:v>U030</x:v>
      </x:c>
      <x:c r="B33" s="63" t="str">
        <x:v>L057</x:v>
      </x:c>
      <x:c r="C33" s="63" t="str">
        <x:v>L057-E01</x:v>
      </x:c>
      <x:c r="D33" s="63" t="str"/>
      <x:c r="E33" s="63" t="str">
        <x:v>Full-text method and experiment details not yet extracted</x:v>
      </x:c>
      <x:c r="F33" s="63" t="str">
        <x:v>Required before mechanism synthesis, novelty boundary, or DIRECT comparison</x:v>
      </x:c>
      <x:c r="G33" s="63" t="str">
        <x:v>Resolve DOI 10.1016/j.engappai.2026.114766 and inspect original full text</x:v>
      </x:c>
      <x:c r="H33" s="63" t="str">
        <x:v>Medium</x:v>
      </x:c>
      <x:c r="I33" s="63" t="str">
        <x:v>Open</x:v>
      </x:c>
      <x:c r="J33" s="63" t="str"/>
      <x:c r="K33" s="63" t="n">
        <x:v>46268</x:v>
      </x:c>
      <x:c r="L33" s="63" t="str">
        <x:f>IF(COUNTA(B33:K33)=0,"",IF(A33="","MISSING ID",IFERROR(IF(AND(LEFT(A33,1)="U",LEN(A33)=4,ISNUMBER(VALUE(RIGHT(A33,3)))),"OK","CHECK ID"),"CHECK ID")))</x:f>
        <x:v>OK</x:v>
      </x:c>
    </x:row>
    <x:row r="34" ht="48" customHeight="1">
      <x:c r="A34" s="62" t="str">
        <x:v>U031</x:v>
      </x:c>
      <x:c r="B34" s="62" t="str">
        <x:v>L058</x:v>
      </x:c>
      <x:c r="C34" s="62" t="str">
        <x:v>L058-E01</x:v>
      </x:c>
      <x:c r="D34" s="62" t="str"/>
      <x:c r="E34" s="62" t="str">
        <x:v>Full-text method and experiment details not yet extracted</x:v>
      </x:c>
      <x:c r="F34" s="62" t="str">
        <x:v>Required before mechanism synthesis, novelty boundary, or DIRECT comparison</x:v>
      </x:c>
      <x:c r="G34" s="62" t="str">
        <x:v>Inspect stable source https://arxiv.org/abs/2605.19760</x:v>
      </x:c>
      <x:c r="H34" s="62" t="str">
        <x:v>Medium</x:v>
      </x:c>
      <x:c r="I34" s="62" t="str">
        <x:v>Open</x:v>
      </x:c>
      <x:c r="J34" s="62" t="str"/>
      <x:c r="K34" s="62" t="n">
        <x:v>46268</x:v>
      </x:c>
      <x:c r="L34" s="62" t="str">
        <x:f>IF(COUNTA(B34:K34)=0,"",IF(A34="","MISSING ID",IFERROR(IF(AND(LEFT(A34,1)="U",LEN(A34)=4,ISNUMBER(VALUE(RIGHT(A34,3)))),"OK","CHECK ID"),"CHECK ID")))</x:f>
        <x:v>OK</x:v>
      </x:c>
    </x:row>
    <x:row r="35" ht="48" customHeight="1">
      <x:c r="A35" s="63" t="str">
        <x:v>U032</x:v>
      </x:c>
      <x:c r="B35" s="63" t="str">
        <x:v>L059</x:v>
      </x:c>
      <x:c r="C35" s="63" t="str">
        <x:v>L059-E01</x:v>
      </x:c>
      <x:c r="D35" s="63" t="str"/>
      <x:c r="E35" s="63" t="str">
        <x:v>Full-text method and experiment details not yet extracted</x:v>
      </x:c>
      <x:c r="F35" s="63" t="str">
        <x:v>Required before mechanism synthesis, novelty boundary, or DIRECT comparison</x:v>
      </x:c>
      <x:c r="G35" s="63" t="str">
        <x:v>Inspect stable source https://arxiv.org/abs/2607.20901</x:v>
      </x:c>
      <x:c r="H35" s="63" t="str">
        <x:v>Medium</x:v>
      </x:c>
      <x:c r="I35" s="63" t="str">
        <x:v>Open</x:v>
      </x:c>
      <x:c r="J35" s="63" t="str"/>
      <x:c r="K35" s="63" t="n">
        <x:v>46268</x:v>
      </x:c>
      <x:c r="L35" s="63" t="str">
        <x:f>IF(COUNTA(B35:K35)=0,"",IF(A35="","MISSING ID",IFERROR(IF(AND(LEFT(A35,1)="U",LEN(A35)=4,ISNUMBER(VALUE(RIGHT(A35,3)))),"OK","CHECK ID"),"CHECK ID")))</x:f>
        <x:v>OK</x:v>
      </x:c>
    </x:row>
    <x:row r="36" ht="48" customHeight="1">
      <x:c r="A36" s="62" t="str">
        <x:v>U033</x:v>
      </x:c>
      <x:c r="B36" s="62" t="str">
        <x:v>L060</x:v>
      </x:c>
      <x:c r="C36" s="62" t="str">
        <x:v>L060-E01</x:v>
      </x:c>
      <x:c r="D36" s="62" t="str"/>
      <x:c r="E36" s="62" t="str">
        <x:v>Full-text method and experiment details not yet extracted</x:v>
      </x:c>
      <x:c r="F36" s="62" t="str">
        <x:v>Required before mechanism synthesis, novelty boundary, or DIRECT comparison</x:v>
      </x:c>
      <x:c r="G36" s="62" t="str">
        <x:v>Resolve DOI 10.2139/ssrn.6170285 and inspect original full text</x:v>
      </x:c>
      <x:c r="H36" s="62" t="str">
        <x:v>Medium</x:v>
      </x:c>
      <x:c r="I36" s="62" t="str">
        <x:v>Open</x:v>
      </x:c>
      <x:c r="J36" s="62" t="str"/>
      <x:c r="K36" s="62" t="n">
        <x:v>46268</x:v>
      </x:c>
      <x:c r="L36" s="62" t="str">
        <x:f>IF(COUNTA(B36:K36)=0,"",IF(A36="","MISSING ID",IFERROR(IF(AND(LEFT(A36,1)="U",LEN(A36)=4,ISNUMBER(VALUE(RIGHT(A36,3)))),"OK","CHECK ID"),"CHECK ID")))</x:f>
        <x:v>OK</x:v>
      </x:c>
    </x:row>
    <x:row r="37" ht="48" customHeight="1">
      <x:c r="A37" s="63" t="str">
        <x:v>U034</x:v>
      </x:c>
      <x:c r="B37" s="63" t="str">
        <x:v>L061</x:v>
      </x:c>
      <x:c r="C37" s="63" t="str">
        <x:v>L061-E01</x:v>
      </x:c>
      <x:c r="D37" s="63" t="str"/>
      <x:c r="E37" s="63" t="str">
        <x:v>Full-text method and experiment details not yet extracted</x:v>
      </x:c>
      <x:c r="F37" s="63" t="str">
        <x:v>Required before mechanism synthesis, novelty boundary, or DIRECT comparison</x:v>
      </x:c>
      <x:c r="G37" s="63" t="str">
        <x:v>Inspect stable source https://arxiv.org/abs/2601.11189</x:v>
      </x:c>
      <x:c r="H37" s="63" t="str">
        <x:v>Medium</x:v>
      </x:c>
      <x:c r="I37" s="63" t="str">
        <x:v>Open</x:v>
      </x:c>
      <x:c r="J37" s="63" t="str"/>
      <x:c r="K37" s="63" t="n">
        <x:v>46268</x:v>
      </x:c>
      <x:c r="L37" s="63" t="str">
        <x:f>IF(COUNTA(B37:K37)=0,"",IF(A37="","MISSING ID",IFERROR(IF(AND(LEFT(A37,1)="U",LEN(A37)=4,ISNUMBER(VALUE(RIGHT(A37,3)))),"OK","CHECK ID"),"CHECK ID")))</x:f>
        <x:v>OK</x:v>
      </x:c>
    </x:row>
    <x:row r="38" ht="48" customHeight="1">
      <x:c r="A38" s="62" t="str">
        <x:v>U035</x:v>
      </x:c>
      <x:c r="B38" s="62" t="str">
        <x:v>L062</x:v>
      </x:c>
      <x:c r="C38" s="62" t="str">
        <x:v>L062-E01</x:v>
      </x:c>
      <x:c r="D38" s="62" t="str"/>
      <x:c r="E38" s="62" t="str">
        <x:v>Full-text method and experiment details not yet extracted</x:v>
      </x:c>
      <x:c r="F38" s="62" t="str">
        <x:v>Required before mechanism synthesis, novelty boundary, or DIRECT comparison</x:v>
      </x:c>
      <x:c r="G38" s="62" t="str">
        <x:v>Resolve DOI 10.1016/j.artint.2026.104560 and inspect original full text</x:v>
      </x:c>
      <x:c r="H38" s="62" t="str">
        <x:v>Medium</x:v>
      </x:c>
      <x:c r="I38" s="62" t="str">
        <x:v>Open</x:v>
      </x:c>
      <x:c r="J38" s="62" t="str"/>
      <x:c r="K38" s="62" t="n">
        <x:v>46268</x:v>
      </x:c>
      <x:c r="L38" s="62" t="str">
        <x:f>IF(COUNTA(B38:K38)=0,"",IF(A38="","MISSING ID",IFERROR(IF(AND(LEFT(A38,1)="U",LEN(A38)=4,ISNUMBER(VALUE(RIGHT(A38,3)))),"OK","CHECK ID"),"CHECK ID")))</x:f>
        <x:v>OK</x:v>
      </x:c>
    </x:row>
    <x:row r="39" ht="48" customHeight="1">
      <x:c r="A39" s="63" t="str">
        <x:v>U036</x:v>
      </x:c>
      <x:c r="B39" s="63" t="str">
        <x:v>L063</x:v>
      </x:c>
      <x:c r="C39" s="63" t="str">
        <x:v>L063-E01</x:v>
      </x:c>
      <x:c r="D39" s="63" t="str"/>
      <x:c r="E39" s="63" t="str">
        <x:v>Full-text method and experiment details not yet extracted</x:v>
      </x:c>
      <x:c r="F39" s="63" t="str">
        <x:v>Required before mechanism synthesis, novelty boundary, or DIRECT comparison</x:v>
      </x:c>
      <x:c r="G39" s="63" t="str">
        <x:v>Inspect stable source https://arxiv.org/abs/2502.18330</x:v>
      </x:c>
      <x:c r="H39" s="63" t="str">
        <x:v>Medium</x:v>
      </x:c>
      <x:c r="I39" s="63" t="str">
        <x:v>Open</x:v>
      </x:c>
      <x:c r="J39" s="63" t="str"/>
      <x:c r="K39" s="63" t="n">
        <x:v>46268</x:v>
      </x:c>
      <x:c r="L39" s="63" t="str">
        <x:f>IF(COUNTA(B39:K39)=0,"",IF(A39="","MISSING ID",IFERROR(IF(AND(LEFT(A39,1)="U",LEN(A39)=4,ISNUMBER(VALUE(RIGHT(A39,3)))),"OK","CHECK ID"),"CHECK ID")))</x:f>
        <x:v>OK</x:v>
      </x:c>
    </x:row>
    <x:row r="40" ht="48" customHeight="1">
      <x:c r="A40" s="62" t="str">
        <x:v>U037</x:v>
      </x:c>
      <x:c r="B40" s="62" t="str">
        <x:v>L064</x:v>
      </x:c>
      <x:c r="C40" s="62" t="str">
        <x:v>L064-E01</x:v>
      </x:c>
      <x:c r="D40" s="62" t="str"/>
      <x:c r="E40" s="62" t="str">
        <x:v>Full-text method and experiment details not yet extracted</x:v>
      </x:c>
      <x:c r="F40" s="62" t="str">
        <x:v>Required before mechanism synthesis, novelty boundary, or DIRECT comparison</x:v>
      </x:c>
      <x:c r="G40" s="62" t="str">
        <x:v>Resolve DOI 10.29020/nybg.ejpam.v18i3.6602 and inspect original full text</x:v>
      </x:c>
      <x:c r="H40" s="62" t="str">
        <x:v>Medium</x:v>
      </x:c>
      <x:c r="I40" s="62" t="str">
        <x:v>Open</x:v>
      </x:c>
      <x:c r="J40" s="62" t="str"/>
      <x:c r="K40" s="62" t="n">
        <x:v>46268</x:v>
      </x:c>
      <x:c r="L40" s="62" t="str">
        <x:f>IF(COUNTA(B40:K40)=0,"",IF(A40="","MISSING ID",IFERROR(IF(AND(LEFT(A40,1)="U",LEN(A40)=4,ISNUMBER(VALUE(RIGHT(A40,3)))),"OK","CHECK ID"),"CHECK ID")))</x:f>
        <x:v>OK</x:v>
      </x:c>
    </x:row>
    <x:row r="41" ht="48" customHeight="1">
      <x:c r="A41" s="63" t="str">
        <x:v>U038</x:v>
      </x:c>
      <x:c r="B41" s="63" t="str">
        <x:v>L065</x:v>
      </x:c>
      <x:c r="C41" s="63" t="str">
        <x:v>L065-E01</x:v>
      </x:c>
      <x:c r="D41" s="63" t="str"/>
      <x:c r="E41" s="63" t="str">
        <x:v>Full-text method and experiment details not yet extracted</x:v>
      </x:c>
      <x:c r="F41" s="63" t="str">
        <x:v>Required before mechanism synthesis, novelty boundary, or DIRECT comparison</x:v>
      </x:c>
      <x:c r="G41" s="63" t="str">
        <x:v>Resolve DOI 10.1016/j.cor.2025.107223 and inspect original full text</x:v>
      </x:c>
      <x:c r="H41" s="63" t="str">
        <x:v>Medium</x:v>
      </x:c>
      <x:c r="I41" s="63" t="str">
        <x:v>Open</x:v>
      </x:c>
      <x:c r="J41" s="63" t="str"/>
      <x:c r="K41" s="63" t="n">
        <x:v>46268</x:v>
      </x:c>
      <x:c r="L41" s="63" t="str">
        <x:f>IF(COUNTA(B41:K41)=0,"",IF(A41="","MISSING ID",IFERROR(IF(AND(LEFT(A41,1)="U",LEN(A41)=4,ISNUMBER(VALUE(RIGHT(A41,3)))),"OK","CHECK ID"),"CHECK ID")))</x:f>
        <x:v>OK</x:v>
      </x:c>
    </x:row>
    <x:row r="42" ht="48" customHeight="1">
      <x:c r="A42" s="62" t="str">
        <x:v>U039</x:v>
      </x:c>
      <x:c r="B42" s="62" t="str">
        <x:v>L066</x:v>
      </x:c>
      <x:c r="C42" s="62" t="str">
        <x:v>L066-E01</x:v>
      </x:c>
      <x:c r="D42" s="62" t="str"/>
      <x:c r="E42" s="62" t="str">
        <x:v>Full-text method and experiment details not yet extracted</x:v>
      </x:c>
      <x:c r="F42" s="62" t="str">
        <x:v>Required before mechanism synthesis, novelty boundary, or DIRECT comparison</x:v>
      </x:c>
      <x:c r="G42" s="62" t="str">
        <x:v>Resolve DOI 10.1080/17445760.2025.2605297 and inspect original full text</x:v>
      </x:c>
      <x:c r="H42" s="62" t="str">
        <x:v>Medium</x:v>
      </x:c>
      <x:c r="I42" s="62" t="str">
        <x:v>Open</x:v>
      </x:c>
      <x:c r="J42" s="62" t="str"/>
      <x:c r="K42" s="62" t="n">
        <x:v>46268</x:v>
      </x:c>
      <x:c r="L42" s="62" t="str">
        <x:f>IF(COUNTA(B42:K42)=0,"",IF(A42="","MISSING ID",IFERROR(IF(AND(LEFT(A42,1)="U",LEN(A42)=4,ISNUMBER(VALUE(RIGHT(A42,3)))),"OK","CHECK ID"),"CHECK ID")))</x:f>
        <x:v>OK</x:v>
      </x:c>
    </x:row>
    <x:row r="43" ht="48" customHeight="1">
      <x:c r="A43" s="63" t="str">
        <x:v>U040</x:v>
      </x:c>
      <x:c r="B43" s="63" t="str">
        <x:v>L067</x:v>
      </x:c>
      <x:c r="C43" s="63" t="str">
        <x:v>L067-E01</x:v>
      </x:c>
      <x:c r="D43" s="63" t="str"/>
      <x:c r="E43" s="63" t="str">
        <x:v>Full-text method and experiment details not yet extracted</x:v>
      </x:c>
      <x:c r="F43" s="63" t="str">
        <x:v>Required before mechanism synthesis, novelty boundary, or DIRECT comparison</x:v>
      </x:c>
      <x:c r="G43" s="63" t="str">
        <x:v>Resolve DOI 10.1016/j.cie.2025.111722 and inspect original full text</x:v>
      </x:c>
      <x:c r="H43" s="63" t="str">
        <x:v>Medium</x:v>
      </x:c>
      <x:c r="I43" s="63" t="str">
        <x:v>Open</x:v>
      </x:c>
      <x:c r="J43" s="63" t="str"/>
      <x:c r="K43" s="63" t="n">
        <x:v>46268</x:v>
      </x:c>
      <x:c r="L43" s="63" t="str">
        <x:f>IF(COUNTA(B43:K43)=0,"",IF(A43="","MISSING ID",IFERROR(IF(AND(LEFT(A43,1)="U",LEN(A43)=4,ISNUMBER(VALUE(RIGHT(A43,3)))),"OK","CHECK ID"),"CHECK ID")))</x:f>
        <x:v>OK</x:v>
      </x:c>
    </x:row>
    <x:row r="44" ht="48" customHeight="1">
      <x:c r="A44" s="62" t="str">
        <x:v>U041</x:v>
      </x:c>
      <x:c r="B44" s="62" t="str">
        <x:v>L068</x:v>
      </x:c>
      <x:c r="C44" s="62" t="str">
        <x:v>L068-E01</x:v>
      </x:c>
      <x:c r="D44" s="62" t="str"/>
      <x:c r="E44" s="62" t="str">
        <x:v>Full-text method and experiment details not yet extracted</x:v>
      </x:c>
      <x:c r="F44" s="62" t="str">
        <x:v>Required before mechanism synthesis, novelty boundary, or DIRECT comparison</x:v>
      </x:c>
      <x:c r="G44" s="62" t="str">
        <x:v>Resolve DOI 10.1016/j.ejor.2025.12.036 and inspect original full text</x:v>
      </x:c>
      <x:c r="H44" s="62" t="str">
        <x:v>Medium</x:v>
      </x:c>
      <x:c r="I44" s="62" t="str">
        <x:v>Open</x:v>
      </x:c>
      <x:c r="J44" s="62" t="str"/>
      <x:c r="K44" s="62" t="n">
        <x:v>46268</x:v>
      </x:c>
      <x:c r="L44" s="62" t="str">
        <x:f>IF(COUNTA(B44:K44)=0,"",IF(A44="","MISSING ID",IFERROR(IF(AND(LEFT(A44,1)="U",LEN(A44)=4,ISNUMBER(VALUE(RIGHT(A44,3)))),"OK","CHECK ID"),"CHECK ID")))</x:f>
        <x:v>OK</x:v>
      </x:c>
    </x:row>
    <x:row r="45" ht="48" customHeight="1">
      <x:c r="A45" s="63" t="str">
        <x:v>U042</x:v>
      </x:c>
      <x:c r="B45" s="63" t="str">
        <x:v>L069</x:v>
      </x:c>
      <x:c r="C45" s="63" t="str">
        <x:v>L069-E01</x:v>
      </x:c>
      <x:c r="D45" s="63" t="str"/>
      <x:c r="E45" s="63" t="str">
        <x:v>Full-text method and experiment details not yet extracted</x:v>
      </x:c>
      <x:c r="F45" s="63" t="str">
        <x:v>Required before mechanism synthesis, novelty boundary, or DIRECT comparison</x:v>
      </x:c>
      <x:c r="G45" s="63" t="str">
        <x:v>Resolve DOI 10.1109/tetci.2025.3540422 and inspect original full text</x:v>
      </x:c>
      <x:c r="H45" s="63" t="str">
        <x:v>Medium</x:v>
      </x:c>
      <x:c r="I45" s="63" t="str">
        <x:v>Open</x:v>
      </x:c>
      <x:c r="J45" s="63" t="str"/>
      <x:c r="K45" s="63" t="n">
        <x:v>46268</x:v>
      </x:c>
      <x:c r="L45" s="63" t="str">
        <x:f>IF(COUNTA(B45:K45)=0,"",IF(A45="","MISSING ID",IFERROR(IF(AND(LEFT(A45,1)="U",LEN(A45)=4,ISNUMBER(VALUE(RIGHT(A45,3)))),"OK","CHECK ID"),"CHECK ID")))</x:f>
        <x:v>OK</x:v>
      </x:c>
    </x:row>
    <x:row r="46" ht="48" customHeight="1">
      <x:c r="A46" s="62" t="str">
        <x:v>U043</x:v>
      </x:c>
      <x:c r="B46" s="62" t="str">
        <x:v>L070</x:v>
      </x:c>
      <x:c r="C46" s="62" t="str">
        <x:v>L070-E01</x:v>
      </x:c>
      <x:c r="D46" s="62" t="str"/>
      <x:c r="E46" s="62" t="str">
        <x:v>Full-text method and experiment details not yet extracted</x:v>
      </x:c>
      <x:c r="F46" s="62" t="str">
        <x:v>Required before mechanism synthesis, novelty boundary, or DIRECT comparison</x:v>
      </x:c>
      <x:c r="G46" s="62" t="str">
        <x:v>Resolve DOI 10.1109/tetci.2025.3623315 and inspect original full text</x:v>
      </x:c>
      <x:c r="H46" s="62" t="str">
        <x:v>Medium</x:v>
      </x:c>
      <x:c r="I46" s="62" t="str">
        <x:v>Open</x:v>
      </x:c>
      <x:c r="J46" s="62" t="str"/>
      <x:c r="K46" s="62" t="n">
        <x:v>46268</x:v>
      </x:c>
      <x:c r="L46" s="62" t="str">
        <x:f>IF(COUNTA(B46:K46)=0,"",IF(A46="","MISSING ID",IFERROR(IF(AND(LEFT(A46,1)="U",LEN(A46)=4,ISNUMBER(VALUE(RIGHT(A46,3)))),"OK","CHECK ID"),"CHECK ID")))</x:f>
        <x:v>OK</x:v>
      </x:c>
    </x:row>
    <x:row r="47" ht="48" customHeight="1">
      <x:c r="A47" s="63" t="str">
        <x:v>U044</x:v>
      </x:c>
      <x:c r="B47" s="63" t="str">
        <x:v>L071</x:v>
      </x:c>
      <x:c r="C47" s="63" t="str">
        <x:v>L071-E01</x:v>
      </x:c>
      <x:c r="D47" s="63" t="str"/>
      <x:c r="E47" s="63" t="str">
        <x:v>Full-text method and experiment details not yet extracted</x:v>
      </x:c>
      <x:c r="F47" s="63" t="str">
        <x:v>Required before mechanism synthesis, novelty boundary, or DIRECT comparison</x:v>
      </x:c>
      <x:c r="G47" s="63" t="str">
        <x:v>Resolve DOI 10.1109/tevc.2025.3543770 and inspect original full text</x:v>
      </x:c>
      <x:c r="H47" s="63" t="str">
        <x:v>Medium</x:v>
      </x:c>
      <x:c r="I47" s="63" t="str">
        <x:v>Open</x:v>
      </x:c>
      <x:c r="J47" s="63" t="str"/>
      <x:c r="K47" s="63" t="n">
        <x:v>46268</x:v>
      </x:c>
      <x:c r="L47" s="63" t="str">
        <x:f>IF(COUNTA(B47:K47)=0,"",IF(A47="","MISSING ID",IFERROR(IF(AND(LEFT(A47,1)="U",LEN(A47)=4,ISNUMBER(VALUE(RIGHT(A47,3)))),"OK","CHECK ID"),"CHECK ID")))</x:f>
        <x:v>OK</x:v>
      </x:c>
    </x:row>
    <x:row r="48" ht="48" customHeight="1">
      <x:c r="A48" s="62" t="str">
        <x:v>U045</x:v>
      </x:c>
      <x:c r="B48" s="62" t="str">
        <x:v>L072</x:v>
      </x:c>
      <x:c r="C48" s="62" t="str">
        <x:v>L072-E01</x:v>
      </x:c>
      <x:c r="D48" s="62" t="str"/>
      <x:c r="E48" s="62" t="str">
        <x:v>Full-text method and experiment details not yet extracted</x:v>
      </x:c>
      <x:c r="F48" s="62" t="str">
        <x:v>Required before mechanism synthesis, novelty boundary, or DIRECT comparison</x:v>
      </x:c>
      <x:c r="G48" s="62" t="str">
        <x:v>Inspect stable source https://arxiv.org/abs/2506.08608</x:v>
      </x:c>
      <x:c r="H48" s="62" t="str">
        <x:v>Medium</x:v>
      </x:c>
      <x:c r="I48" s="62" t="str">
        <x:v>Open</x:v>
      </x:c>
      <x:c r="J48" s="62" t="str"/>
      <x:c r="K48" s="62" t="n">
        <x:v>46268</x:v>
      </x:c>
      <x:c r="L48" s="62" t="str">
        <x:f>IF(COUNTA(B48:K48)=0,"",IF(A48="","MISSING ID",IFERROR(IF(AND(LEFT(A48,1)="U",LEN(A48)=4,ISNUMBER(VALUE(RIGHT(A48,3)))),"OK","CHECK ID"),"CHECK ID")))</x:f>
        <x:v>OK</x:v>
      </x:c>
    </x:row>
    <x:row r="49" ht="48" customHeight="1">
      <x:c r="A49" s="63" t="str">
        <x:v>U046</x:v>
      </x:c>
      <x:c r="B49" s="63" t="str">
        <x:v>L073</x:v>
      </x:c>
      <x:c r="C49" s="63" t="str">
        <x:v>L073-E01</x:v>
      </x:c>
      <x:c r="D49" s="63" t="str"/>
      <x:c r="E49" s="63" t="str">
        <x:v>Full-text method and experiment details not yet extracted</x:v>
      </x:c>
      <x:c r="F49" s="63" t="str">
        <x:v>Required before mechanism synthesis, novelty boundary, or DIRECT comparison</x:v>
      </x:c>
      <x:c r="G49" s="63" t="str">
        <x:v>Resolve DOI 10.1016/j.aei.2025.103282 and inspect original full text</x:v>
      </x:c>
      <x:c r="H49" s="63" t="str">
        <x:v>Medium</x:v>
      </x:c>
      <x:c r="I49" s="63" t="str">
        <x:v>Open</x:v>
      </x:c>
      <x:c r="J49" s="63" t="str"/>
      <x:c r="K49" s="63" t="n">
        <x:v>46268</x:v>
      </x:c>
      <x:c r="L49" s="63" t="str">
        <x:f>IF(COUNTA(B49:K49)=0,"",IF(A49="","MISSING ID",IFERROR(IF(AND(LEFT(A49,1)="U",LEN(A49)=4,ISNUMBER(VALUE(RIGHT(A49,3)))),"OK","CHECK ID"),"CHECK ID")))</x:f>
        <x:v>OK</x:v>
      </x:c>
    </x:row>
    <x:row r="50" ht="48" customHeight="1">
      <x:c r="A50" s="62" t="str">
        <x:v>U047</x:v>
      </x:c>
      <x:c r="B50" s="62" t="str">
        <x:v>L074</x:v>
      </x:c>
      <x:c r="C50" s="62" t="str">
        <x:v>L074-E01</x:v>
      </x:c>
      <x:c r="D50" s="62" t="str"/>
      <x:c r="E50" s="62" t="str">
        <x:v>Full-text method and experiment details not yet extracted</x:v>
      </x:c>
      <x:c r="F50" s="62" t="str">
        <x:v>Required before mechanism synthesis, novelty boundary, or DIRECT comparison</x:v>
      </x:c>
      <x:c r="G50" s="62" t="str">
        <x:v>Resolve DOI 10.1016/j.cor.2024.106881 and inspect original full text</x:v>
      </x:c>
      <x:c r="H50" s="62" t="str">
        <x:v>Medium</x:v>
      </x:c>
      <x:c r="I50" s="62" t="str">
        <x:v>Open</x:v>
      </x:c>
      <x:c r="J50" s="62" t="str"/>
      <x:c r="K50" s="62" t="n">
        <x:v>46268</x:v>
      </x:c>
      <x:c r="L50" s="62" t="str">
        <x:f>IF(COUNTA(B50:K50)=0,"",IF(A50="","MISSING ID",IFERROR(IF(AND(LEFT(A50,1)="U",LEN(A50)=4,ISNUMBER(VALUE(RIGHT(A50,3)))),"OK","CHECK ID"),"CHECK ID")))</x:f>
        <x:v>OK</x:v>
      </x:c>
    </x:row>
    <x:row r="51" ht="48" customHeight="1">
      <x:c r="A51" s="63" t="str">
        <x:v>U048</x:v>
      </x:c>
      <x:c r="B51" s="63" t="str">
        <x:v>L075</x:v>
      </x:c>
      <x:c r="C51" s="63" t="str">
        <x:v>L075-E01</x:v>
      </x:c>
      <x:c r="D51" s="63" t="str"/>
      <x:c r="E51" s="63" t="str">
        <x:v>Full-text method and experiment details not yet extracted</x:v>
      </x:c>
      <x:c r="F51" s="63" t="str">
        <x:v>Required before mechanism synthesis, novelty boundary, or DIRECT comparison</x:v>
      </x:c>
      <x:c r="G51" s="63" t="str">
        <x:v>Resolve DOI 10.1109/tetci.2024.3444698 and inspect original full text</x:v>
      </x:c>
      <x:c r="H51" s="63" t="str">
        <x:v>Medium</x:v>
      </x:c>
      <x:c r="I51" s="63" t="str">
        <x:v>Open</x:v>
      </x:c>
      <x:c r="J51" s="63" t="str"/>
      <x:c r="K51" s="63" t="n">
        <x:v>46268</x:v>
      </x:c>
      <x:c r="L51" s="63" t="str">
        <x:f>IF(COUNTA(B51:K51)=0,"",IF(A51="","MISSING ID",IFERROR(IF(AND(LEFT(A51,1)="U",LEN(A51)=4,ISNUMBER(VALUE(RIGHT(A51,3)))),"OK","CHECK ID"),"CHECK ID")))</x:f>
        <x:v>OK</x:v>
      </x:c>
    </x:row>
    <x:row r="52" ht="48" customHeight="1">
      <x:c r="A52" s="62" t="str">
        <x:v>U049</x:v>
      </x:c>
      <x:c r="B52" s="62" t="str">
        <x:v>L076</x:v>
      </x:c>
      <x:c r="C52" s="62" t="str">
        <x:v>L076-E01</x:v>
      </x:c>
      <x:c r="D52" s="62" t="str"/>
      <x:c r="E52" s="62" t="str">
        <x:v>Full-text method and experiment details not yet extracted</x:v>
      </x:c>
      <x:c r="F52" s="62" t="str">
        <x:v>Required before mechanism synthesis, novelty boundary, or DIRECT comparison</x:v>
      </x:c>
      <x:c r="G52" s="62" t="str">
        <x:v>Resolve DOI 10.1016/j.swevo.2024.101485 and inspect original full text</x:v>
      </x:c>
      <x:c r="H52" s="62" t="str">
        <x:v>Medium</x:v>
      </x:c>
      <x:c r="I52" s="62" t="str">
        <x:v>Open</x:v>
      </x:c>
      <x:c r="J52" s="62" t="str"/>
      <x:c r="K52" s="62" t="n">
        <x:v>46268</x:v>
      </x:c>
      <x:c r="L52" s="62" t="str">
        <x:f>IF(COUNTA(B52:K52)=0,"",IF(A52="","MISSING ID",IFERROR(IF(AND(LEFT(A52,1)="U",LEN(A52)=4,ISNUMBER(VALUE(RIGHT(A52,3)))),"OK","CHECK ID"),"CHECK ID")))</x:f>
        <x:v>OK</x:v>
      </x:c>
    </x:row>
    <x:row r="53" ht="48" customHeight="1">
      <x:c r="A53" s="63" t="str">
        <x:v>U050</x:v>
      </x:c>
      <x:c r="B53" s="63" t="str">
        <x:v>L077</x:v>
      </x:c>
      <x:c r="C53" s="63" t="str">
        <x:v>L077-E01</x:v>
      </x:c>
      <x:c r="D53" s="63" t="str"/>
      <x:c r="E53" s="63" t="str">
        <x:v>Full-text method and experiment details not yet extracted</x:v>
      </x:c>
      <x:c r="F53" s="63" t="str">
        <x:v>Required before mechanism synthesis, novelty boundary, or DIRECT comparison</x:v>
      </x:c>
      <x:c r="G53" s="63" t="str">
        <x:v>Resolve DOI 10.1016/j.cor.2024.106791 and inspect original full text</x:v>
      </x:c>
      <x:c r="H53" s="63" t="str">
        <x:v>Medium</x:v>
      </x:c>
      <x:c r="I53" s="63" t="str">
        <x:v>Open</x:v>
      </x:c>
      <x:c r="J53" s="63" t="str"/>
      <x:c r="K53" s="63" t="n">
        <x:v>46268</x:v>
      </x:c>
      <x:c r="L53" s="63" t="str">
        <x:f>IF(COUNTA(B53:K53)=0,"",IF(A53="","MISSING ID",IFERROR(IF(AND(LEFT(A53,1)="U",LEN(A53)=4,ISNUMBER(VALUE(RIGHT(A53,3)))),"OK","CHECK ID"),"CHECK ID")))</x:f>
        <x:v>OK</x:v>
      </x:c>
    </x:row>
    <x:row r="54" ht="48" customHeight="1">
      <x:c r="A54" s="62" t="str">
        <x:v>U051</x:v>
      </x:c>
      <x:c r="B54" s="62" t="str">
        <x:v>L078</x:v>
      </x:c>
      <x:c r="C54" s="62" t="str">
        <x:v>L078-E01</x:v>
      </x:c>
      <x:c r="D54" s="62" t="str"/>
      <x:c r="E54" s="62" t="str">
        <x:v>Full-text method and experiment details not yet extracted</x:v>
      </x:c>
      <x:c r="F54" s="62" t="str">
        <x:v>Required before mechanism synthesis, novelty boundary, or DIRECT comparison</x:v>
      </x:c>
      <x:c r="G54" s="62" t="str">
        <x:v>Inspect stable source https://arxiv.org/abs/2409.18742</x:v>
      </x:c>
      <x:c r="H54" s="62" t="str">
        <x:v>High</x:v>
      </x:c>
      <x:c r="I54" s="62" t="str">
        <x:v>Open</x:v>
      </x:c>
      <x:c r="J54" s="62" t="str"/>
      <x:c r="K54" s="62" t="n">
        <x:v>46268</x:v>
      </x:c>
      <x:c r="L54" s="62" t="str">
        <x:f>IF(COUNTA(B54:K54)=0,"",IF(A54="","MISSING ID",IFERROR(IF(AND(LEFT(A54,1)="U",LEN(A54)=4,ISNUMBER(VALUE(RIGHT(A54,3)))),"OK","CHECK ID"),"CHECK ID")))</x:f>
        <x:v>OK</x:v>
      </x:c>
    </x:row>
    <x:row r="55" ht="48" customHeight="1">
      <x:c r="A55" s="63" t="str">
        <x:v>U052</x:v>
      </x:c>
      <x:c r="B55" s="63" t="str">
        <x:v>L079</x:v>
      </x:c>
      <x:c r="C55" s="63" t="str">
        <x:v>L079-E01</x:v>
      </x:c>
      <x:c r="D55" s="63" t="str"/>
      <x:c r="E55" s="63" t="str">
        <x:v>Full-text method and experiment details not yet extracted</x:v>
      </x:c>
      <x:c r="F55" s="63" t="str">
        <x:v>Required before mechanism synthesis, novelty boundary, or DIRECT comparison</x:v>
      </x:c>
      <x:c r="G55" s="63" t="str">
        <x:v>Resolve DOI 10.1016/j.neucom.2024.127943 and inspect original full text</x:v>
      </x:c>
      <x:c r="H55" s="63" t="str">
        <x:v>Medium</x:v>
      </x:c>
      <x:c r="I55" s="63" t="str">
        <x:v>Open</x:v>
      </x:c>
      <x:c r="J55" s="63" t="str"/>
      <x:c r="K55" s="63" t="n">
        <x:v>46268</x:v>
      </x:c>
      <x:c r="L55" s="63" t="str">
        <x:f>IF(COUNTA(B55:K55)=0,"",IF(A55="","MISSING ID",IFERROR(IF(AND(LEFT(A55,1)="U",LEN(A55)=4,ISNUMBER(VALUE(RIGHT(A55,3)))),"OK","CHECK ID"),"CHECK ID")))</x:f>
        <x:v>OK</x:v>
      </x:c>
    </x:row>
    <x:row r="56" ht="48" customHeight="1">
      <x:c r="A56" s="62" t="str">
        <x:v>U053</x:v>
      </x:c>
      <x:c r="B56" s="62" t="str">
        <x:v>L080</x:v>
      </x:c>
      <x:c r="C56" s="62" t="str">
        <x:v>L080-E01</x:v>
      </x:c>
      <x:c r="D56" s="62" t="str"/>
      <x:c r="E56" s="62" t="str">
        <x:v>Full-text method and experiment details not yet extracted</x:v>
      </x:c>
      <x:c r="F56" s="62" t="str">
        <x:v>Required before mechanism synthesis, novelty boundary, or DIRECT comparison</x:v>
      </x:c>
      <x:c r="G56" s="62" t="str">
        <x:v>Resolve DOI 10.1109/tevc.2024.3400043 and inspect original full text</x:v>
      </x:c>
      <x:c r="H56" s="62" t="str">
        <x:v>Medium</x:v>
      </x:c>
      <x:c r="I56" s="62" t="str">
        <x:v>Open</x:v>
      </x:c>
      <x:c r="J56" s="62" t="str"/>
      <x:c r="K56" s="62" t="n">
        <x:v>46268</x:v>
      </x:c>
      <x:c r="L56" s="62" t="str">
        <x:f>IF(COUNTA(B56:K56)=0,"",IF(A56="","MISSING ID",IFERROR(IF(AND(LEFT(A56,1)="U",LEN(A56)=4,ISNUMBER(VALUE(RIGHT(A56,3)))),"OK","CHECK ID"),"CHECK ID")))</x:f>
        <x:v>OK</x:v>
      </x:c>
    </x:row>
    <x:row r="57" ht="48" customHeight="1">
      <x:c r="A57" s="63" t="str">
        <x:v>U054</x:v>
      </x:c>
      <x:c r="B57" s="63" t="str">
        <x:v>L081</x:v>
      </x:c>
      <x:c r="C57" s="63" t="str">
        <x:v>L081-E01</x:v>
      </x:c>
      <x:c r="D57" s="63" t="str"/>
      <x:c r="E57" s="63" t="str">
        <x:v>Full-text method and experiment details not yet extracted</x:v>
      </x:c>
      <x:c r="F57" s="63" t="str">
        <x:v>Required before mechanism synthesis, novelty boundary, or DIRECT comparison</x:v>
      </x:c>
      <x:c r="G57" s="63" t="str">
        <x:v>Resolve DOI 10.1016/j.asoc.2024.112461 and inspect original full text</x:v>
      </x:c>
      <x:c r="H57" s="63" t="str">
        <x:v>Medium</x:v>
      </x:c>
      <x:c r="I57" s="63" t="str">
        <x:v>Open</x:v>
      </x:c>
      <x:c r="J57" s="63" t="str"/>
      <x:c r="K57" s="63" t="n">
        <x:v>46268</x:v>
      </x:c>
      <x:c r="L57" s="63" t="str">
        <x:f>IF(COUNTA(B57:K57)=0,"",IF(A57="","MISSING ID",IFERROR(IF(AND(LEFT(A57,1)="U",LEN(A57)=4,ISNUMBER(VALUE(RIGHT(A57,3)))),"OK","CHECK ID"),"CHECK ID")))</x:f>
        <x:v>OK</x:v>
      </x:c>
    </x:row>
    <x:row r="58" ht="48" customHeight="1">
      <x:c r="A58" s="62" t="str">
        <x:v>U055</x:v>
      </x:c>
      <x:c r="B58" s="62" t="str">
        <x:v>L082</x:v>
      </x:c>
      <x:c r="C58" s="62" t="str">
        <x:v>L082-E01</x:v>
      </x:c>
      <x:c r="D58" s="62" t="str"/>
      <x:c r="E58" s="62" t="str">
        <x:v>Full-text method and experiment details not yet extracted</x:v>
      </x:c>
      <x:c r="F58" s="62" t="str">
        <x:v>Required before mechanism synthesis, novelty boundary, or DIRECT comparison</x:v>
      </x:c>
      <x:c r="G58" s="62" t="str">
        <x:v>Resolve DOI 10.1609/aaai.v38i16.29701 and inspect original full text</x:v>
      </x:c>
      <x:c r="H58" s="62" t="str">
        <x:v>Medium</x:v>
      </x:c>
      <x:c r="I58" s="62" t="str">
        <x:v>Open</x:v>
      </x:c>
      <x:c r="J58" s="62" t="str"/>
      <x:c r="K58" s="62" t="n">
        <x:v>46268</x:v>
      </x:c>
      <x:c r="L58" s="62" t="str">
        <x:f>IF(COUNTA(B58:K58)=0,"",IF(A58="","MISSING ID",IFERROR(IF(AND(LEFT(A58,1)="U",LEN(A58)=4,ISNUMBER(VALUE(RIGHT(A58,3)))),"OK","CHECK ID"),"CHECK ID")))</x:f>
        <x:v>OK</x:v>
      </x:c>
    </x:row>
    <x:row r="59" ht="48" customHeight="1">
      <x:c r="A59" s="63" t="str">
        <x:v>U056</x:v>
      </x:c>
      <x:c r="B59" s="63" t="str">
        <x:v>L083</x:v>
      </x:c>
      <x:c r="C59" s="63" t="str">
        <x:v>L083-E01</x:v>
      </x:c>
      <x:c r="D59" s="63" t="str"/>
      <x:c r="E59" s="63" t="str">
        <x:v>Full-text method and experiment details not yet extracted</x:v>
      </x:c>
      <x:c r="F59" s="63" t="str">
        <x:v>Required before mechanism synthesis, novelty boundary, or DIRECT comparison</x:v>
      </x:c>
      <x:c r="G59" s="63" t="str">
        <x:v>Inspect stable source https://arxiv.org/abs/2408.14864</x:v>
      </x:c>
      <x:c r="H59" s="63" t="str">
        <x:v>Medium</x:v>
      </x:c>
      <x:c r="I59" s="63" t="str">
        <x:v>Open</x:v>
      </x:c>
      <x:c r="J59" s="63" t="str"/>
      <x:c r="K59" s="63" t="n">
        <x:v>46268</x:v>
      </x:c>
      <x:c r="L59" s="63" t="str">
        <x:f>IF(COUNTA(B59:K59)=0,"",IF(A59="","MISSING ID",IFERROR(IF(AND(LEFT(A59,1)="U",LEN(A59)=4,ISNUMBER(VALUE(RIGHT(A59,3)))),"OK","CHECK ID"),"CHECK ID")))</x:f>
        <x:v>OK</x:v>
      </x:c>
    </x:row>
    <x:row r="60" ht="48" customHeight="1">
      <x:c r="A60" s="62" t="str">
        <x:v>U057</x:v>
      </x:c>
      <x:c r="B60" s="62" t="str">
        <x:v>L084</x:v>
      </x:c>
      <x:c r="C60" s="62" t="str">
        <x:v>L084-E01</x:v>
      </x:c>
      <x:c r="D60" s="62" t="str"/>
      <x:c r="E60" s="62" t="str">
        <x:v>Full-text method and experiment details not yet extracted</x:v>
      </x:c>
      <x:c r="F60" s="62" t="str">
        <x:v>Required before mechanism synthesis, novelty boundary, or DIRECT comparison</x:v>
      </x:c>
      <x:c r="G60" s="62" t="str">
        <x:v>Inspect stable source https://arxiv.org/abs/2403.16787</x:v>
      </x:c>
      <x:c r="H60" s="62" t="str">
        <x:v>Medium</x:v>
      </x:c>
      <x:c r="I60" s="62" t="str">
        <x:v>Open</x:v>
      </x:c>
      <x:c r="J60" s="62" t="str"/>
      <x:c r="K60" s="62" t="n">
        <x:v>46268</x:v>
      </x:c>
      <x:c r="L60" s="62" t="str">
        <x:f>IF(COUNTA(B60:K60)=0,"",IF(A60="","MISSING ID",IFERROR(IF(AND(LEFT(A60,1)="U",LEN(A60)=4,ISNUMBER(VALUE(RIGHT(A60,3)))),"OK","CHECK ID"),"CHECK ID")))</x:f>
        <x:v>OK</x:v>
      </x:c>
    </x:row>
    <x:row r="61" ht="48" customHeight="1">
      <x:c r="A61" s="63" t="str">
        <x:v>U058</x:v>
      </x:c>
      <x:c r="B61" s="63" t="str">
        <x:v>L085</x:v>
      </x:c>
      <x:c r="C61" s="63" t="str">
        <x:v>L085-E01</x:v>
      </x:c>
      <x:c r="D61" s="63" t="str"/>
      <x:c r="E61" s="63" t="str">
        <x:v>Full-text method and experiment details not yet extracted</x:v>
      </x:c>
      <x:c r="F61" s="63" t="str">
        <x:v>Required before mechanism synthesis, novelty boundary, or DIRECT comparison</x:v>
      </x:c>
      <x:c r="G61" s="63" t="str">
        <x:v>Inspect stable source https://arxiv.org/abs/2412.08206</x:v>
      </x:c>
      <x:c r="H61" s="63" t="str">
        <x:v>Medium</x:v>
      </x:c>
      <x:c r="I61" s="63" t="str">
        <x:v>Open</x:v>
      </x:c>
      <x:c r="J61" s="63" t="str"/>
      <x:c r="K61" s="63" t="n">
        <x:v>46268</x:v>
      </x:c>
      <x:c r="L61" s="63" t="str">
        <x:f>IF(COUNTA(B61:K61)=0,"",IF(A61="","MISSING ID",IFERROR(IF(AND(LEFT(A61,1)="U",LEN(A61)=4,ISNUMBER(VALUE(RIGHT(A61,3)))),"OK","CHECK ID"),"CHECK ID")))</x:f>
        <x:v>OK</x:v>
      </x:c>
    </x:row>
    <x:row r="62" ht="48" customHeight="1">
      <x:c r="A62" s="62" t="str">
        <x:v>U059</x:v>
      </x:c>
      <x:c r="B62" s="62" t="str">
        <x:v>L086</x:v>
      </x:c>
      <x:c r="C62" s="62" t="str">
        <x:v>L086-E01</x:v>
      </x:c>
      <x:c r="D62" s="62" t="str"/>
      <x:c r="E62" s="62" t="str">
        <x:v>Full-text method and experiment details not yet extracted</x:v>
      </x:c>
      <x:c r="F62" s="62" t="str">
        <x:v>Required before mechanism synthesis, novelty boundary, or DIRECT comparison</x:v>
      </x:c>
      <x:c r="G62" s="62" t="str">
        <x:v>Resolve DOI 10.1016/j.ejor.2023.01.017 and inspect original full text</x:v>
      </x:c>
      <x:c r="H62" s="62" t="str">
        <x:v>Medium</x:v>
      </x:c>
      <x:c r="I62" s="62" t="str">
        <x:v>Open</x:v>
      </x:c>
      <x:c r="J62" s="62" t="str"/>
      <x:c r="K62" s="62" t="n">
        <x:v>46268</x:v>
      </x:c>
      <x:c r="L62" s="62" t="str">
        <x:f>IF(COUNTA(B62:K62)=0,"",IF(A62="","MISSING ID",IFERROR(IF(AND(LEFT(A62,1)="U",LEN(A62)=4,ISNUMBER(VALUE(RIGHT(A62,3)))),"OK","CHECK ID"),"CHECK ID")))</x:f>
        <x:v>OK</x:v>
      </x:c>
    </x:row>
    <x:row r="63" ht="48" customHeight="1">
      <x:c r="A63" s="63" t="str">
        <x:v>U060</x:v>
      </x:c>
      <x:c r="B63" s="63" t="str">
        <x:v>L087</x:v>
      </x:c>
      <x:c r="C63" s="63" t="str">
        <x:v>L087-E01</x:v>
      </x:c>
      <x:c r="D63" s="63" t="str"/>
      <x:c r="E63" s="63" t="str">
        <x:v>Full-text method and experiment details not yet extracted</x:v>
      </x:c>
      <x:c r="F63" s="63" t="str">
        <x:v>Required before mechanism synthesis, novelty boundary, or DIRECT comparison</x:v>
      </x:c>
      <x:c r="G63" s="63" t="str">
        <x:v>Resolve DOI 10.1016/j.eswa.2023.121050 and inspect original full text</x:v>
      </x:c>
      <x:c r="H63" s="63" t="str">
        <x:v>Medium</x:v>
      </x:c>
      <x:c r="I63" s="63" t="str">
        <x:v>Open</x:v>
      </x:c>
      <x:c r="J63" s="63" t="str"/>
      <x:c r="K63" s="63" t="n">
        <x:v>46268</x:v>
      </x:c>
      <x:c r="L63" s="63" t="str">
        <x:f>IF(COUNTA(B63:K63)=0,"",IF(A63="","MISSING ID",IFERROR(IF(AND(LEFT(A63,1)="U",LEN(A63)=4,ISNUMBER(VALUE(RIGHT(A63,3)))),"OK","CHECK ID"),"CHECK ID")))</x:f>
        <x:v>OK</x:v>
      </x:c>
    </x:row>
    <x:row r="64" ht="48" customHeight="1">
      <x:c r="A64" s="62" t="str">
        <x:v>U061</x:v>
      </x:c>
      <x:c r="B64" s="62" t="str">
        <x:v>L088</x:v>
      </x:c>
      <x:c r="C64" s="62" t="str">
        <x:v>L088-E01</x:v>
      </x:c>
      <x:c r="D64" s="62" t="str"/>
      <x:c r="E64" s="62" t="str">
        <x:v>Full-text method and experiment details not yet extracted</x:v>
      </x:c>
      <x:c r="F64" s="62" t="str">
        <x:v>Required before mechanism synthesis, novelty boundary, or DIRECT comparison</x:v>
      </x:c>
      <x:c r="G64" s="62" t="str">
        <x:v>Resolve DOI 10.1109/tase.2023.3327792 and inspect original full text</x:v>
      </x:c>
      <x:c r="H64" s="62" t="str">
        <x:v>Medium</x:v>
      </x:c>
      <x:c r="I64" s="62" t="str">
        <x:v>Open</x:v>
      </x:c>
      <x:c r="J64" s="62" t="str"/>
      <x:c r="K64" s="62" t="n">
        <x:v>46268</x:v>
      </x:c>
      <x:c r="L64" s="62" t="str">
        <x:f>IF(COUNTA(B64:K64)=0,"",IF(A64="","MISSING ID",IFERROR(IF(AND(LEFT(A64,1)="U",LEN(A64)=4,ISNUMBER(VALUE(RIGHT(A64,3)))),"OK","CHECK ID"),"CHECK ID")))</x:f>
        <x:v>OK</x:v>
      </x:c>
    </x:row>
    <x:row r="65" ht="48" customHeight="1">
      <x:c r="A65" s="63" t="str">
        <x:v>U062</x:v>
      </x:c>
      <x:c r="B65" s="63" t="str">
        <x:v>L089</x:v>
      </x:c>
      <x:c r="C65" s="63" t="str">
        <x:v>L089-E01</x:v>
      </x:c>
      <x:c r="D65" s="63" t="str"/>
      <x:c r="E65" s="63" t="str">
        <x:v>Full-text method and experiment details not yet extracted</x:v>
      </x:c>
      <x:c r="F65" s="63" t="str">
        <x:v>Required before mechanism synthesis, novelty boundary, or DIRECT comparison</x:v>
      </x:c>
      <x:c r="G65" s="63" t="str">
        <x:v>Resolve DOI 10.3390/systems11020103 and inspect original full text</x:v>
      </x:c>
      <x:c r="H65" s="63" t="str">
        <x:v>High</x:v>
      </x:c>
      <x:c r="I65" s="63" t="str">
        <x:v>Open</x:v>
      </x:c>
      <x:c r="J65" s="63" t="str"/>
      <x:c r="K65" s="63" t="n">
        <x:v>46268</x:v>
      </x:c>
      <x:c r="L65" s="63" t="str">
        <x:f>IF(COUNTA(B65:K65)=0,"",IF(A65="","MISSING ID",IFERROR(IF(AND(LEFT(A65,1)="U",LEN(A65)=4,ISNUMBER(VALUE(RIGHT(A65,3)))),"OK","CHECK ID"),"CHECK ID")))</x:f>
        <x:v>OK</x:v>
      </x:c>
    </x:row>
    <x:row r="66" ht="48" customHeight="1">
      <x:c r="A66" s="62" t="str">
        <x:v>U063</x:v>
      </x:c>
      <x:c r="B66" s="62" t="str">
        <x:v>L090</x:v>
      </x:c>
      <x:c r="C66" s="62" t="str">
        <x:v>L090-E01</x:v>
      </x:c>
      <x:c r="D66" s="62" t="str"/>
      <x:c r="E66" s="62" t="str">
        <x:v>Full-text method and experiment details not yet extracted</x:v>
      </x:c>
      <x:c r="F66" s="62" t="str">
        <x:v>Required before mechanism synthesis, novelty boundary, or DIRECT comparison</x:v>
      </x:c>
      <x:c r="G66" s="62" t="str">
        <x:v>Inspect stable source https://arxiv.org/abs/2310.09686</x:v>
      </x:c>
      <x:c r="H66" s="62" t="str">
        <x:v>Medium</x:v>
      </x:c>
      <x:c r="I66" s="62" t="str">
        <x:v>Open</x:v>
      </x:c>
      <x:c r="J66" s="62" t="str"/>
      <x:c r="K66" s="62" t="n">
        <x:v>46268</x:v>
      </x:c>
      <x:c r="L66" s="62" t="str">
        <x:f>IF(COUNTA(B66:K66)=0,"",IF(A66="","MISSING ID",IFERROR(IF(AND(LEFT(A66,1)="U",LEN(A66)=4,ISNUMBER(VALUE(RIGHT(A66,3)))),"OK","CHECK ID"),"CHECK ID")))</x:f>
        <x:v>OK</x:v>
      </x:c>
    </x:row>
    <x:row r="67" ht="48" customHeight="1">
      <x:c r="A67" s="63" t="str">
        <x:v>U064</x:v>
      </x:c>
      <x:c r="B67" s="63" t="str">
        <x:v>L091</x:v>
      </x:c>
      <x:c r="C67" s="63" t="str">
        <x:v>L091-E01</x:v>
      </x:c>
      <x:c r="D67" s="63" t="str"/>
      <x:c r="E67" s="63" t="str">
        <x:v>Full-text method and experiment details not yet extracted</x:v>
      </x:c>
      <x:c r="F67" s="63" t="str">
        <x:v>Required before mechanism synthesis, novelty boundary, or DIRECT comparison</x:v>
      </x:c>
      <x:c r="G67" s="63" t="str">
        <x:v>Resolve DOI 10.1016/j.ejor.2023.06.016 and inspect original full text</x:v>
      </x:c>
      <x:c r="H67" s="63" t="str">
        <x:v>Medium</x:v>
      </x:c>
      <x:c r="I67" s="63" t="str">
        <x:v>Open</x:v>
      </x:c>
      <x:c r="J67" s="63" t="str"/>
      <x:c r="K67" s="63" t="n">
        <x:v>46268</x:v>
      </x:c>
      <x:c r="L67" s="63" t="str">
        <x:f>IF(COUNTA(B67:K67)=0,"",IF(A67="","MISSING ID",IFERROR(IF(AND(LEFT(A67,1)="U",LEN(A67)=4,ISNUMBER(VALUE(RIGHT(A67,3)))),"OK","CHECK ID"),"CHECK ID")))</x:f>
        <x:v>OK</x:v>
      </x:c>
    </x:row>
    <x:row r="68" ht="48" customHeight="1">
      <x:c r="A68" s="62" t="str">
        <x:v>U065</x:v>
      </x:c>
      <x:c r="B68" s="62" t="str">
        <x:v>L092</x:v>
      </x:c>
      <x:c r="C68" s="62" t="str">
        <x:v>L092-E01</x:v>
      </x:c>
      <x:c r="D68" s="62" t="str"/>
      <x:c r="E68" s="62" t="str">
        <x:v>Full-text method and experiment details not yet extracted</x:v>
      </x:c>
      <x:c r="F68" s="62" t="str">
        <x:v>Required before mechanism synthesis, novelty boundary, or DIRECT comparison</x:v>
      </x:c>
      <x:c r="G68" s="62" t="str">
        <x:v>Resolve DOI 10.1109/access.2023.3277953 and inspect original full text</x:v>
      </x:c>
      <x:c r="H68" s="62" t="str">
        <x:v>Medium</x:v>
      </x:c>
      <x:c r="I68" s="62" t="str">
        <x:v>Open</x:v>
      </x:c>
      <x:c r="J68" s="62" t="str"/>
      <x:c r="K68" s="62" t="n">
        <x:v>46268</x:v>
      </x:c>
      <x:c r="L68" s="62" t="str">
        <x:f>IF(COUNTA(B68:K68)=0,"",IF(A68="","MISSING ID",IFERROR(IF(AND(LEFT(A68,1)="U",LEN(A68)=4,ISNUMBER(VALUE(RIGHT(A68,3)))),"OK","CHECK ID"),"CHECK ID")))</x:f>
        <x:v>OK</x:v>
      </x:c>
    </x:row>
    <x:row r="69" ht="48" customHeight="1">
      <x:c r="A69" s="63" t="str">
        <x:v>U066</x:v>
      </x:c>
      <x:c r="B69" s="63" t="str">
        <x:v>L093</x:v>
      </x:c>
      <x:c r="C69" s="63" t="str">
        <x:v>L093-E01</x:v>
      </x:c>
      <x:c r="D69" s="63" t="str"/>
      <x:c r="E69" s="63" t="str">
        <x:v>Full-text method and experiment details not yet extracted</x:v>
      </x:c>
      <x:c r="F69" s="63" t="str">
        <x:v>Required before mechanism synthesis, novelty boundary, or DIRECT comparison</x:v>
      </x:c>
      <x:c r="G69" s="63" t="str">
        <x:v>Resolve DOI 10.1016/j.asoc.2023.110695 and inspect original full text</x:v>
      </x:c>
      <x:c r="H69" s="63" t="str">
        <x:v>Medium</x:v>
      </x:c>
      <x:c r="I69" s="63" t="str">
        <x:v>Open</x:v>
      </x:c>
      <x:c r="J69" s="63" t="str"/>
      <x:c r="K69" s="63" t="n">
        <x:v>46268</x:v>
      </x:c>
      <x:c r="L69" s="63" t="str">
        <x:f>IF(COUNTA(B69:K69)=0,"",IF(A69="","MISSING ID",IFERROR(IF(AND(LEFT(A69,1)="U",LEN(A69)=4,ISNUMBER(VALUE(RIGHT(A69,3)))),"OK","CHECK ID"),"CHECK ID")))</x:f>
        <x:v>OK</x:v>
      </x:c>
    </x:row>
    <x:row r="70" ht="48" customHeight="1">
      <x:c r="A70" s="62" t="str">
        <x:v>U067</x:v>
      </x:c>
      <x:c r="B70" s="62" t="str">
        <x:v>L094</x:v>
      </x:c>
      <x:c r="C70" s="62" t="str">
        <x:v>L094-E01</x:v>
      </x:c>
      <x:c r="D70" s="62" t="str"/>
      <x:c r="E70" s="62" t="str">
        <x:v>Full-text method and experiment details not yet extracted</x:v>
      </x:c>
      <x:c r="F70" s="62" t="str">
        <x:v>Required before mechanism synthesis, novelty boundary, or DIRECT comparison</x:v>
      </x:c>
      <x:c r="G70" s="62" t="str">
        <x:v>Resolve DOI 10.1080/00207543.2022.2060772 and inspect original full text</x:v>
      </x:c>
      <x:c r="H70" s="62" t="str">
        <x:v>Medium</x:v>
      </x:c>
      <x:c r="I70" s="62" t="str">
        <x:v>Open</x:v>
      </x:c>
      <x:c r="J70" s="62" t="str"/>
      <x:c r="K70" s="62" t="n">
        <x:v>46268</x:v>
      </x:c>
      <x:c r="L70" s="62" t="str">
        <x:f>IF(COUNTA(B70:K70)=0,"",IF(A70="","MISSING ID",IFERROR(IF(AND(LEFT(A70,1)="U",LEN(A70)=4,ISNUMBER(VALUE(RIGHT(A70,3)))),"OK","CHECK ID"),"CHECK ID")))</x:f>
        <x:v>OK</x:v>
      </x:c>
    </x:row>
    <x:row r="71" ht="48" customHeight="1">
      <x:c r="A71" s="63" t="str">
        <x:v>U068</x:v>
      </x:c>
      <x:c r="B71" s="63" t="str">
        <x:v>L095</x:v>
      </x:c>
      <x:c r="C71" s="63" t="str">
        <x:v>L095-E01</x:v>
      </x:c>
      <x:c r="D71" s="63" t="str"/>
      <x:c r="E71" s="63" t="str">
        <x:v>Full-text method and experiment details not yet extracted</x:v>
      </x:c>
      <x:c r="F71" s="63" t="str">
        <x:v>Required before mechanism synthesis, novelty boundary, or DIRECT comparison</x:v>
      </x:c>
      <x:c r="G71" s="63" t="str">
        <x:v>Resolve DOI 10.1016/j.knosys.2022.109190 and inspect original full text</x:v>
      </x:c>
      <x:c r="H71" s="63" t="str">
        <x:v>Medium</x:v>
      </x:c>
      <x:c r="I71" s="63" t="str">
        <x:v>Open</x:v>
      </x:c>
      <x:c r="J71" s="63" t="str"/>
      <x:c r="K71" s="63" t="n">
        <x:v>46268</x:v>
      </x:c>
      <x:c r="L71" s="63" t="str">
        <x:f>IF(COUNTA(B71:K71)=0,"",IF(A71="","MISSING ID",IFERROR(IF(AND(LEFT(A71,1)="U",LEN(A71)=4,ISNUMBER(VALUE(RIGHT(A71,3)))),"OK","CHECK ID"),"CHECK ID")))</x:f>
        <x:v>OK</x:v>
      </x:c>
    </x:row>
    <x:row r="72" ht="48" customHeight="1">
      <x:c r="A72" s="62" t="str">
        <x:v>U069</x:v>
      </x:c>
      <x:c r="B72" s="62" t="str">
        <x:v>L096</x:v>
      </x:c>
      <x:c r="C72" s="62" t="str">
        <x:v>L096-E01</x:v>
      </x:c>
      <x:c r="D72" s="62" t="str"/>
      <x:c r="E72" s="62" t="str">
        <x:v>Full-text method and experiment details not yet extracted</x:v>
      </x:c>
      <x:c r="F72" s="62" t="str">
        <x:v>Required before mechanism synthesis, novelty boundary, or DIRECT comparison</x:v>
      </x:c>
      <x:c r="G72" s="62" t="str">
        <x:v>Inspect stable source https://arxiv.org/abs/2202.12866</x:v>
      </x:c>
      <x:c r="H72" s="62" t="str">
        <x:v>Medium</x:v>
      </x:c>
      <x:c r="I72" s="62" t="str">
        <x:v>Open</x:v>
      </x:c>
      <x:c r="J72" s="62" t="str"/>
      <x:c r="K72" s="62" t="n">
        <x:v>46268</x:v>
      </x:c>
      <x:c r="L72" s="62" t="str">
        <x:f>IF(COUNTA(B72:K72)=0,"",IF(A72="","MISSING ID",IFERROR(IF(AND(LEFT(A72,1)="U",LEN(A72)=4,ISNUMBER(VALUE(RIGHT(A72,3)))),"OK","CHECK ID"),"CHECK ID")))</x:f>
        <x:v>OK</x:v>
      </x:c>
    </x:row>
    <x:row r="73" ht="48" customHeight="1">
      <x:c r="A73" s="63" t="str">
        <x:v>U070</x:v>
      </x:c>
      <x:c r="B73" s="63" t="str">
        <x:v>L097</x:v>
      </x:c>
      <x:c r="C73" s="63" t="str">
        <x:v>L097-E01</x:v>
      </x:c>
      <x:c r="D73" s="63" t="str"/>
      <x:c r="E73" s="63" t="str">
        <x:v>Full-text method and experiment details not yet extracted</x:v>
      </x:c>
      <x:c r="F73" s="63" t="str">
        <x:v>Required before mechanism synthesis, novelty boundary, or DIRECT comparison</x:v>
      </x:c>
      <x:c r="G73" s="63" t="str">
        <x:v>Resolve DOI 10.1109/tase.2021.3129439 and inspect original full text</x:v>
      </x:c>
      <x:c r="H73" s="63" t="str">
        <x:v>Medium</x:v>
      </x:c>
      <x:c r="I73" s="63" t="str">
        <x:v>Open</x:v>
      </x:c>
      <x:c r="J73" s="63" t="str"/>
      <x:c r="K73" s="63" t="n">
        <x:v>46268</x:v>
      </x:c>
      <x:c r="L73" s="63" t="str">
        <x:f>IF(COUNTA(B73:K73)=0,"",IF(A73="","MISSING ID",IFERROR(IF(AND(LEFT(A73,1)="U",LEN(A73)=4,ISNUMBER(VALUE(RIGHT(A73,3)))),"OK","CHECK ID"),"CHECK ID")))</x:f>
        <x:v>OK</x:v>
      </x:c>
    </x:row>
    <x:row r="74" ht="48" customHeight="1">
      <x:c r="A74" s="62" t="str">
        <x:v>U071</x:v>
      </x:c>
      <x:c r="B74" s="62" t="str">
        <x:v>L098</x:v>
      </x:c>
      <x:c r="C74" s="62" t="str">
        <x:v>L098-E01</x:v>
      </x:c>
      <x:c r="D74" s="62" t="str"/>
      <x:c r="E74" s="62" t="str">
        <x:v>Full-text method and experiment details not yet extracted</x:v>
      </x:c>
      <x:c r="F74" s="62" t="str">
        <x:v>Required before mechanism synthesis, novelty boundary, or DIRECT comparison</x:v>
      </x:c>
      <x:c r="G74" s="62" t="str">
        <x:v>Inspect stable source https://arxiv.org/abs/2109.02843</x:v>
      </x:c>
      <x:c r="H74" s="62" t="str">
        <x:v>Medium</x:v>
      </x:c>
      <x:c r="I74" s="62" t="str">
        <x:v>Open</x:v>
      </x:c>
      <x:c r="J74" s="62" t="str"/>
      <x:c r="K74" s="62" t="n">
        <x:v>46268</x:v>
      </x:c>
      <x:c r="L74" s="62" t="str">
        <x:f>IF(COUNTA(B74:K74)=0,"",IF(A74="","MISSING ID",IFERROR(IF(AND(LEFT(A74,1)="U",LEN(A74)=4,ISNUMBER(VALUE(RIGHT(A74,3)))),"OK","CHECK ID"),"CHECK ID")))</x:f>
        <x:v>OK</x:v>
      </x:c>
    </x:row>
    <x:row r="75" ht="48" customHeight="1">
      <x:c r="A75" s="63" t="str">
        <x:v>U072</x:v>
      </x:c>
      <x:c r="B75" s="63" t="str">
        <x:v>L099</x:v>
      </x:c>
      <x:c r="C75" s="63" t="str">
        <x:v>L099-E01</x:v>
      </x:c>
      <x:c r="D75" s="63" t="str"/>
      <x:c r="E75" s="63" t="str">
        <x:v>Full-text method and experiment details not yet extracted</x:v>
      </x:c>
      <x:c r="F75" s="63" t="str">
        <x:v>Required before mechanism synthesis, novelty boundary, or DIRECT comparison</x:v>
      </x:c>
      <x:c r="G75" s="63" t="str">
        <x:v>Resolve DOI 10.23919/csms.2021.0010 and inspect original full text</x:v>
      </x:c>
      <x:c r="H75" s="63" t="str">
        <x:v>Medium</x:v>
      </x:c>
      <x:c r="I75" s="63" t="str">
        <x:v>Open</x:v>
      </x:c>
      <x:c r="J75" s="63" t="str"/>
      <x:c r="K75" s="63" t="n">
        <x:v>46268</x:v>
      </x:c>
      <x:c r="L75" s="63" t="str">
        <x:f>IF(COUNTA(B75:K75)=0,"",IF(A75="","MISSING ID",IFERROR(IF(AND(LEFT(A75,1)="U",LEN(A75)=4,ISNUMBER(VALUE(RIGHT(A75,3)))),"OK","CHECK ID"),"CHECK ID")))</x:f>
        <x:v>OK</x:v>
      </x:c>
    </x:row>
    <x:row r="76" ht="48" customHeight="1">
      <x:c r="A76" s="62" t="str">
        <x:v>U073</x:v>
      </x:c>
      <x:c r="B76" s="62" t="str">
        <x:v>L100</x:v>
      </x:c>
      <x:c r="C76" s="62" t="str">
        <x:v>L100-E01</x:v>
      </x:c>
      <x:c r="D76" s="62" t="str"/>
      <x:c r="E76" s="62" t="str">
        <x:v>Full-text method and experiment details not yet extracted</x:v>
      </x:c>
      <x:c r="F76" s="62" t="str">
        <x:v>Required before mechanism synthesis, novelty boundary, or DIRECT comparison</x:v>
      </x:c>
      <x:c r="G76" s="62" t="str">
        <x:v>Resolve DOI 10.1007/s12532-021-00209-7 and inspect original full text</x:v>
      </x:c>
      <x:c r="H76" s="62" t="str">
        <x:v>Medium</x:v>
      </x:c>
      <x:c r="I76" s="62" t="str">
        <x:v>Open</x:v>
      </x:c>
      <x:c r="J76" s="62" t="str"/>
      <x:c r="K76" s="62" t="n">
        <x:v>46268</x:v>
      </x:c>
      <x:c r="L76" s="62" t="str">
        <x:f>IF(COUNTA(B76:K76)=0,"",IF(A76="","MISSING ID",IFERROR(IF(AND(LEFT(A76,1)="U",LEN(A76)=4,ISNUMBER(VALUE(RIGHT(A76,3)))),"OK","CHECK ID"),"CHECK ID")))</x:f>
        <x:v>OK</x:v>
      </x:c>
    </x:row>
    <x:row r="77" ht="48" customHeight="1">
      <x:c r="A77" s="63" t="str">
        <x:v>U074</x:v>
      </x:c>
      <x:c r="B77" s="63" t="str">
        <x:v>L101</x:v>
      </x:c>
      <x:c r="C77" s="63" t="str">
        <x:v>L101-E01</x:v>
      </x:c>
      <x:c r="D77" s="63" t="str"/>
      <x:c r="E77" s="63" t="str">
        <x:v>Full-text method and experiment details not yet extracted</x:v>
      </x:c>
      <x:c r="F77" s="63" t="str">
        <x:v>Required before mechanism synthesis, novelty boundary, or DIRECT comparison</x:v>
      </x:c>
      <x:c r="G77" s="63" t="str">
        <x:v>Resolve DOI 10.1016/j.swevo.2021.100985 and inspect original full text</x:v>
      </x:c>
      <x:c r="H77" s="63" t="str">
        <x:v>Medium</x:v>
      </x:c>
      <x:c r="I77" s="63" t="str">
        <x:v>Open</x:v>
      </x:c>
      <x:c r="J77" s="63" t="str"/>
      <x:c r="K77" s="63" t="n">
        <x:v>46268</x:v>
      </x:c>
      <x:c r="L77" s="63" t="str">
        <x:f>IF(COUNTA(B77:K77)=0,"",IF(A77="","MISSING ID",IFERROR(IF(AND(LEFT(A77,1)="U",LEN(A77)=4,ISNUMBER(VALUE(RIGHT(A77,3)))),"OK","CHECK ID"),"CHECK ID")))</x:f>
        <x:v>OK</x:v>
      </x:c>
    </x:row>
    <x:row r="78" ht="48" customHeight="1">
      <x:c r="A78" s="62" t="str">
        <x:v>U075</x:v>
      </x:c>
      <x:c r="B78" s="62" t="str">
        <x:v>L102</x:v>
      </x:c>
      <x:c r="C78" s="62" t="str">
        <x:v>L102-E01</x:v>
      </x:c>
      <x:c r="D78" s="62" t="str"/>
      <x:c r="E78" s="62" t="str">
        <x:v>Full-text method and experiment details not yet extracted</x:v>
      </x:c>
      <x:c r="F78" s="62" t="str">
        <x:v>Required before mechanism synthesis, novelty boundary, or DIRECT comparison</x:v>
      </x:c>
      <x:c r="G78" s="62" t="str">
        <x:v>Inspect stable source https://arxiv.org/abs/2112.02195</x:v>
      </x:c>
      <x:c r="H78" s="62" t="str">
        <x:v>Medium</x:v>
      </x:c>
      <x:c r="I78" s="62" t="str">
        <x:v>Open</x:v>
      </x:c>
      <x:c r="J78" s="62" t="str"/>
      <x:c r="K78" s="62" t="n">
        <x:v>46268</x:v>
      </x:c>
      <x:c r="L78" s="62" t="str">
        <x:f>IF(COUNTA(B78:K78)=0,"",IF(A78="","MISSING ID",IFERROR(IF(AND(LEFT(A78,1)="U",LEN(A78)=4,ISNUMBER(VALUE(RIGHT(A78,3)))),"OK","CHECK ID"),"CHECK ID")))</x:f>
        <x:v>OK</x:v>
      </x:c>
    </x:row>
    <x:row r="79" ht="48" customHeight="1">
      <x:c r="A79" s="63" t="str">
        <x:v>U076</x:v>
      </x:c>
      <x:c r="B79" s="63" t="str">
        <x:v>L103</x:v>
      </x:c>
      <x:c r="C79" s="63" t="str">
        <x:v>L103-E01</x:v>
      </x:c>
      <x:c r="D79" s="63" t="str"/>
      <x:c r="E79" s="63" t="str">
        <x:v>Full-text method and experiment details not yet extracted</x:v>
      </x:c>
      <x:c r="F79" s="63" t="str">
        <x:v>Required before mechanism synthesis, novelty boundary, or DIRECT comparison</x:v>
      </x:c>
      <x:c r="G79" s="63" t="str">
        <x:v>Resolve DOI 10.1016/j.eswa.2021.115978 and inspect original full text</x:v>
      </x:c>
      <x:c r="H79" s="63" t="str">
        <x:v>Medium</x:v>
      </x:c>
      <x:c r="I79" s="63" t="str">
        <x:v>Open</x:v>
      </x:c>
      <x:c r="J79" s="63" t="str"/>
      <x:c r="K79" s="63" t="n">
        <x:v>46268</x:v>
      </x:c>
      <x:c r="L79" s="63" t="str">
        <x:f>IF(COUNTA(B79:K79)=0,"",IF(A79="","MISSING ID",IFERROR(IF(AND(LEFT(A79,1)="U",LEN(A79)=4,ISNUMBER(VALUE(RIGHT(A79,3)))),"OK","CHECK ID"),"CHECK ID")))</x:f>
        <x:v>OK</x:v>
      </x:c>
    </x:row>
    <x:row r="80" ht="48" customHeight="1">
      <x:c r="A80" s="62" t="str">
        <x:v>U077</x:v>
      </x:c>
      <x:c r="B80" s="62" t="str">
        <x:v>L104</x:v>
      </x:c>
      <x:c r="C80" s="62" t="str">
        <x:v>L104-E01</x:v>
      </x:c>
      <x:c r="D80" s="62" t="str"/>
      <x:c r="E80" s="62" t="str">
        <x:v>Full-text method and experiment details not yet extracted</x:v>
      </x:c>
      <x:c r="F80" s="62" t="str">
        <x:v>Required before mechanism synthesis, novelty boundary, or DIRECT comparison</x:v>
      </x:c>
      <x:c r="G80" s="62" t="str">
        <x:v>Inspect stable source https://arxiv.org/abs/2004.06564</x:v>
      </x:c>
      <x:c r="H80" s="62" t="str">
        <x:v>Medium</x:v>
      </x:c>
      <x:c r="I80" s="62" t="str">
        <x:v>Open</x:v>
      </x:c>
      <x:c r="J80" s="62" t="str"/>
      <x:c r="K80" s="62" t="n">
        <x:v>46268</x:v>
      </x:c>
      <x:c r="L80" s="62" t="str">
        <x:f>IF(COUNTA(B80:K80)=0,"",IF(A80="","MISSING ID",IFERROR(IF(AND(LEFT(A80,1)="U",LEN(A80)=4,ISNUMBER(VALUE(RIGHT(A80,3)))),"OK","CHECK ID"),"CHECK ID")))</x:f>
        <x:v>OK</x:v>
      </x:c>
    </x:row>
    <x:row r="81" ht="48" customHeight="1">
      <x:c r="A81" s="63" t="str">
        <x:v>U078</x:v>
      </x:c>
      <x:c r="B81" s="63" t="str">
        <x:v>L105</x:v>
      </x:c>
      <x:c r="C81" s="63" t="str">
        <x:v>L105-E01</x:v>
      </x:c>
      <x:c r="D81" s="63" t="str"/>
      <x:c r="E81" s="63" t="str">
        <x:v>Full-text method and experiment details not yet extracted</x:v>
      </x:c>
      <x:c r="F81" s="63" t="str">
        <x:v>Required before mechanism synthesis, novelty boundary, or DIRECT comparison</x:v>
      </x:c>
      <x:c r="G81" s="63" t="str">
        <x:v>Resolve DOI 10.1002/net.21959 and inspect original full text</x:v>
      </x:c>
      <x:c r="H81" s="63" t="str">
        <x:v>Medium</x:v>
      </x:c>
      <x:c r="I81" s="63" t="str">
        <x:v>Open</x:v>
      </x:c>
      <x:c r="J81" s="63" t="str"/>
      <x:c r="K81" s="63" t="n">
        <x:v>46268</x:v>
      </x:c>
      <x:c r="L81" s="63" t="str">
        <x:f>IF(COUNTA(B81:K81)=0,"",IF(A81="","MISSING ID",IFERROR(IF(AND(LEFT(A81,1)="U",LEN(A81)=4,ISNUMBER(VALUE(RIGHT(A81,3)))),"OK","CHECK ID"),"CHECK ID")))</x:f>
        <x:v>OK</x:v>
      </x:c>
    </x:row>
    <x:row r="82" ht="48" customHeight="1">
      <x:c r="A82" s="62" t="str">
        <x:v>U079</x:v>
      </x:c>
      <x:c r="B82" s="62" t="str">
        <x:v>L106</x:v>
      </x:c>
      <x:c r="C82" s="62" t="str">
        <x:v>L106-E01</x:v>
      </x:c>
      <x:c r="D82" s="62" t="str"/>
      <x:c r="E82" s="62" t="str">
        <x:v>Full-text method and experiment details not yet extracted</x:v>
      </x:c>
      <x:c r="F82" s="62" t="str">
        <x:v>Required before mechanism synthesis, novelty boundary, or DIRECT comparison</x:v>
      </x:c>
      <x:c r="G82" s="62" t="str">
        <x:v>Resolve DOI 10.1162/evco_a_00258 and inspect original full text</x:v>
      </x:c>
      <x:c r="H82" s="62" t="str">
        <x:v>Medium</x:v>
      </x:c>
      <x:c r="I82" s="62" t="str">
        <x:v>Open</x:v>
      </x:c>
      <x:c r="J82" s="62" t="str"/>
      <x:c r="K82" s="62" t="n">
        <x:v>46268</x:v>
      </x:c>
      <x:c r="L82" s="62" t="str">
        <x:f>IF(COUNTA(B82:K82)=0,"",IF(A82="","MISSING ID",IFERROR(IF(AND(LEFT(A82,1)="U",LEN(A82)=4,ISNUMBER(VALUE(RIGHT(A82,3)))),"OK","CHECK ID"),"CHECK ID")))</x:f>
        <x:v>OK</x:v>
      </x:c>
    </x:row>
    <x:row r="83" ht="48" customHeight="1">
      <x:c r="A83" s="63" t="str">
        <x:v>U080</x:v>
      </x:c>
      <x:c r="B83" s="63" t="str">
        <x:v>L107</x:v>
      </x:c>
      <x:c r="C83" s="63" t="str">
        <x:v>L107-E01</x:v>
      </x:c>
      <x:c r="D83" s="63" t="str"/>
      <x:c r="E83" s="63" t="str">
        <x:v>Full-text method and experiment details not yet extracted</x:v>
      </x:c>
      <x:c r="F83" s="63" t="str">
        <x:v>Required before mechanism synthesis, novelty boundary, or DIRECT comparison</x:v>
      </x:c>
      <x:c r="G83" s="63" t="str">
        <x:v>Inspect stable source https://arxiv.org/abs/1806.08984</x:v>
      </x:c>
      <x:c r="H83" s="63" t="str">
        <x:v>Medium</x:v>
      </x:c>
      <x:c r="I83" s="63" t="str">
        <x:v>Open</x:v>
      </x:c>
      <x:c r="J83" s="63" t="str"/>
      <x:c r="K83" s="63" t="n">
        <x:v>46268</x:v>
      </x:c>
      <x:c r="L83" s="63" t="str">
        <x:f>IF(COUNTA(B83:K83)=0,"",IF(A83="","MISSING ID",IFERROR(IF(AND(LEFT(A83,1)="U",LEN(A83)=4,ISNUMBER(VALUE(RIGHT(A83,3)))),"OK","CHECK ID"),"CHECK ID")))</x:f>
        <x:v>OK</x:v>
      </x:c>
    </x:row>
    <x:row r="84" ht="48" customHeight="1">
      <x:c r="A84" s="62" t="str">
        <x:v>U081</x:v>
      </x:c>
      <x:c r="B84" s="62" t="str">
        <x:v>L108</x:v>
      </x:c>
      <x:c r="C84" s="62" t="str">
        <x:v>L108-E01</x:v>
      </x:c>
      <x:c r="D84" s="62" t="str"/>
      <x:c r="E84" s="62" t="str">
        <x:v>Full-text method and experiment details not yet extracted</x:v>
      </x:c>
      <x:c r="F84" s="62" t="str">
        <x:v>Required before mechanism synthesis, novelty boundary, or DIRECT comparison</x:v>
      </x:c>
      <x:c r="G84" s="62" t="str">
        <x:v>Inspect stable source https://arxiv.org/abs/1801.07546</x:v>
      </x:c>
      <x:c r="H84" s="62" t="str">
        <x:v>Medium</x:v>
      </x:c>
      <x:c r="I84" s="62" t="str">
        <x:v>Open</x:v>
      </x:c>
      <x:c r="J84" s="62" t="str"/>
      <x:c r="K84" s="62" t="n">
        <x:v>46268</x:v>
      </x:c>
      <x:c r="L84" s="62" t="str">
        <x:f>IF(COUNTA(B84:K84)=0,"",IF(A84="","MISSING ID",IFERROR(IF(AND(LEFT(A84,1)="U",LEN(A84)=4,ISNUMBER(VALUE(RIGHT(A84,3)))),"OK","CHECK ID"),"CHECK ID")))</x:f>
        <x:v>OK</x:v>
      </x:c>
    </x:row>
    <x:row r="85" ht="48" customHeight="1">
      <x:c r="A85" s="63" t="str">
        <x:v>U082</x:v>
      </x:c>
      <x:c r="B85" s="63" t="str">
        <x:v>L109</x:v>
      </x:c>
      <x:c r="C85" s="63" t="str">
        <x:v>L109-E01</x:v>
      </x:c>
      <x:c r="D85" s="63" t="str"/>
      <x:c r="E85" s="63" t="str">
        <x:v>Full-text method and experiment details not yet extracted</x:v>
      </x:c>
      <x:c r="F85" s="63" t="str">
        <x:v>Required before mechanism synthesis, novelty boundary, or DIRECT comparison</x:v>
      </x:c>
      <x:c r="G85" s="63" t="str">
        <x:v>Resolve DOI 10.1007/s40092-017-0204-z and inspect original full text</x:v>
      </x:c>
      <x:c r="H85" s="63" t="str">
        <x:v>Medium</x:v>
      </x:c>
      <x:c r="I85" s="63" t="str">
        <x:v>Open</x:v>
      </x:c>
      <x:c r="J85" s="63" t="str"/>
      <x:c r="K85" s="63" t="n">
        <x:v>46268</x:v>
      </x:c>
      <x:c r="L85" s="63" t="str">
        <x:f>IF(COUNTA(B85:K85)=0,"",IF(A85="","MISSING ID",IFERROR(IF(AND(LEFT(A85,1)="U",LEN(A85)=4,ISNUMBER(VALUE(RIGHT(A85,3)))),"OK","CHECK ID"),"CHECK ID")))</x:f>
        <x:v>OK</x:v>
      </x:c>
    </x:row>
    <x:row r="86" ht="48" customHeight="1">
      <x:c r="A86" s="62" t="str">
        <x:v>U083</x:v>
      </x:c>
      <x:c r="B86" s="62" t="str">
        <x:v>L110</x:v>
      </x:c>
      <x:c r="C86" s="62" t="str">
        <x:v>L110-E01</x:v>
      </x:c>
      <x:c r="D86" s="62" t="str"/>
      <x:c r="E86" s="62" t="str">
        <x:v>Full-text method and experiment details not yet extracted</x:v>
      </x:c>
      <x:c r="F86" s="62" t="str">
        <x:v>Required before mechanism synthesis, novelty boundary, or DIRECT comparison</x:v>
      </x:c>
      <x:c r="G86" s="62" t="str">
        <x:v>Resolve DOI 10.1109/cisti.2015.7170394 and inspect original full text</x:v>
      </x:c>
      <x:c r="H86" s="62" t="str">
        <x:v>Medium</x:v>
      </x:c>
      <x:c r="I86" s="62" t="str">
        <x:v>Open</x:v>
      </x:c>
      <x:c r="J86" s="62" t="str"/>
      <x:c r="K86" s="62" t="n">
        <x:v>46268</x:v>
      </x:c>
      <x:c r="L86" s="62" t="str">
        <x:f>IF(COUNTA(B86:K86)=0,"",IF(A86="","MISSING ID",IFERROR(IF(AND(LEFT(A86,1)="U",LEN(A86)=4,ISNUMBER(VALUE(RIGHT(A86,3)))),"OK","CHECK ID"),"CHECK ID")))</x:f>
        <x:v>OK</x:v>
      </x:c>
    </x:row>
    <x:row r="87" ht="48" customHeight="1">
      <x:c r="A87" s="63" t="str">
        <x:v>U084</x:v>
      </x:c>
      <x:c r="B87" s="63" t="str">
        <x:v>L111</x:v>
      </x:c>
      <x:c r="C87" s="63" t="str">
        <x:v>L111-E01</x:v>
      </x:c>
      <x:c r="D87" s="63" t="str"/>
      <x:c r="E87" s="63" t="str">
        <x:v>Full-text method and experiment details not yet extracted</x:v>
      </x:c>
      <x:c r="F87" s="63" t="str">
        <x:v>Required before mechanism synthesis, novelty boundary, or DIRECT comparison</x:v>
      </x:c>
      <x:c r="G87" s="63" t="str">
        <x:v>Resolve DOI 10.1109/tcyb.2014.2323936 and inspect original full text</x:v>
      </x:c>
      <x:c r="H87" s="63" t="str">
        <x:v>Medium</x:v>
      </x:c>
      <x:c r="I87" s="63" t="str">
        <x:v>Open</x:v>
      </x:c>
      <x:c r="J87" s="63" t="str"/>
      <x:c r="K87" s="63" t="n">
        <x:v>46268</x:v>
      </x:c>
      <x:c r="L87" s="63" t="str">
        <x:f>IF(COUNTA(B87:K87)=0,"",IF(A87="","MISSING ID",IFERROR(IF(AND(LEFT(A87,1)="U",LEN(A87)=4,ISNUMBER(VALUE(RIGHT(A87,3)))),"OK","CHECK ID"),"CHECK ID")))</x:f>
        <x:v>OK</x:v>
      </x:c>
    </x:row>
    <x:row r="88" ht="48" customHeight="1">
      <x:c r="A88" s="62" t="str">
        <x:v>U085</x:v>
      </x:c>
      <x:c r="B88" s="62" t="str">
        <x:v>L112</x:v>
      </x:c>
      <x:c r="C88" s="62" t="str">
        <x:v>L112-E01</x:v>
      </x:c>
      <x:c r="D88" s="62" t="str"/>
      <x:c r="E88" s="62" t="str">
        <x:v>Full-text method and experiment details not yet extracted</x:v>
      </x:c>
      <x:c r="F88" s="62" t="str">
        <x:v>Required before mechanism synthesis, novelty boundary, or DIRECT comparison</x:v>
      </x:c>
      <x:c r="G88" s="62" t="str">
        <x:v>Resolve DOI 10.1613/jair.3313 and inspect original full text</x:v>
      </x:c>
      <x:c r="H88" s="62" t="str">
        <x:v>Medium</x:v>
      </x:c>
      <x:c r="I88" s="62" t="str">
        <x:v>Open</x:v>
      </x:c>
      <x:c r="J88" s="62" t="str"/>
      <x:c r="K88" s="62" t="n">
        <x:v>46268</x:v>
      </x:c>
      <x:c r="L88" s="62" t="str">
        <x:f>IF(COUNTA(B88:K88)=0,"",IF(A88="","MISSING ID",IFERROR(IF(AND(LEFT(A88,1)="U",LEN(A88)=4,ISNUMBER(VALUE(RIGHT(A88,3)))),"OK","CHECK ID"),"CHECK ID")))</x:f>
        <x:v>OK</x:v>
      </x:c>
    </x:row>
    <x:row r="89" ht="48" customHeight="1">
      <x:c r="A89" s="63" t="str">
        <x:v>U086</x:v>
      </x:c>
      <x:c r="B89" s="63" t="str">
        <x:v>L113</x:v>
      </x:c>
      <x:c r="C89" s="63" t="str">
        <x:v>L113-E01</x:v>
      </x:c>
      <x:c r="D89" s="63" t="str"/>
      <x:c r="E89" s="63" t="str">
        <x:v>Full-text method and experiment details not yet extracted</x:v>
      </x:c>
      <x:c r="F89" s="63" t="str">
        <x:v>Required before mechanism synthesis, novelty boundary, or DIRECT comparison</x:v>
      </x:c>
      <x:c r="G89" s="63" t="str">
        <x:v>Resolve DOI 10.1162/evco_a_00131 and inspect original full text</x:v>
      </x:c>
      <x:c r="H89" s="63" t="str">
        <x:v>Medium</x:v>
      </x:c>
      <x:c r="I89" s="63" t="str">
        <x:v>Open</x:v>
      </x:c>
      <x:c r="J89" s="63" t="str"/>
      <x:c r="K89" s="63" t="n">
        <x:v>46268</x:v>
      </x:c>
      <x:c r="L89" s="63" t="str">
        <x:f>IF(COUNTA(B89:K89)=0,"",IF(A89="","MISSING ID",IFERROR(IF(AND(LEFT(A89,1)="U",LEN(A89)=4,ISNUMBER(VALUE(RIGHT(A89,3)))),"OK","CHECK ID"),"CHECK ID")))</x:f>
        <x:v>OK</x:v>
      </x:c>
    </x:row>
    <x:row r="90" ht="48" customHeight="1">
      <x:c r="A90" s="62" t="str">
        <x:v>U087</x:v>
      </x:c>
      <x:c r="B90" s="62" t="str">
        <x:v>L114</x:v>
      </x:c>
      <x:c r="C90" s="62" t="str">
        <x:v>L114-E01</x:v>
      </x:c>
      <x:c r="D90" s="62" t="str"/>
      <x:c r="E90" s="62" t="str">
        <x:v>Full-text method and experiment details not yet extracted</x:v>
      </x:c>
      <x:c r="F90" s="62" t="str">
        <x:v>Required before mechanism synthesis, novelty boundary, or DIRECT comparison</x:v>
      </x:c>
      <x:c r="G90" s="62" t="str">
        <x:v>Resolve DOI 10.1080/00207543.2012.752588 and inspect original full text</x:v>
      </x:c>
      <x:c r="H90" s="62" t="str">
        <x:v>Medium</x:v>
      </x:c>
      <x:c r="I90" s="62" t="str">
        <x:v>Open</x:v>
      </x:c>
      <x:c r="J90" s="62" t="str"/>
      <x:c r="K90" s="62" t="n">
        <x:v>46268</x:v>
      </x:c>
      <x:c r="L90" s="62" t="str">
        <x:f>IF(COUNTA(B90:K90)=0,"",IF(A90="","MISSING ID",IFERROR(IF(AND(LEFT(A90,1)="U",LEN(A90)=4,ISNUMBER(VALUE(RIGHT(A90,3)))),"OK","CHECK ID"),"CHECK ID")))</x:f>
        <x:v>OK</x:v>
      </x:c>
    </x:row>
    <x:row r="91" ht="48" customHeight="1">
      <x:c r="A91" s="63" t="str">
        <x:v>U088</x:v>
      </x:c>
      <x:c r="B91" s="63" t="str">
        <x:v>L115</x:v>
      </x:c>
      <x:c r="C91" s="63" t="str">
        <x:v>L115-E01</x:v>
      </x:c>
      <x:c r="D91" s="63" t="str"/>
      <x:c r="E91" s="63" t="str">
        <x:v>Full-text method and experiment details not yet extracted</x:v>
      </x:c>
      <x:c r="F91" s="63" t="str">
        <x:v>Required before mechanism synthesis, novelty boundary, or DIRECT comparison</x:v>
      </x:c>
      <x:c r="G91" s="63" t="str">
        <x:v>Resolve DOI 10.1155/2012/478981 and inspect original full text</x:v>
      </x:c>
      <x:c r="H91" s="63" t="str">
        <x:v>Medium</x:v>
      </x:c>
      <x:c r="I91" s="63" t="str">
        <x:v>Open</x:v>
      </x:c>
      <x:c r="J91" s="63" t="str"/>
      <x:c r="K91" s="63" t="n">
        <x:v>46268</x:v>
      </x:c>
      <x:c r="L91" s="63" t="str">
        <x:f>IF(COUNTA(B91:K91)=0,"",IF(A91="","MISSING ID",IFERROR(IF(AND(LEFT(A91,1)="U",LEN(A91)=4,ISNUMBER(VALUE(RIGHT(A91,3)))),"OK","CHECK ID"),"CHECK ID")))</x:f>
        <x:v>OK</x:v>
      </x:c>
    </x:row>
    <x:row r="92" ht="48" customHeight="1">
      <x:c r="A92" s="62" t="str">
        <x:v>U089</x:v>
      </x:c>
      <x:c r="B92" s="62" t="str">
        <x:v>L116</x:v>
      </x:c>
      <x:c r="C92" s="62" t="str">
        <x:v>L116-E01</x:v>
      </x:c>
      <x:c r="D92" s="62" t="str"/>
      <x:c r="E92" s="62" t="str">
        <x:v>Full-text method and experiment details not yet extracted</x:v>
      </x:c>
      <x:c r="F92" s="62" t="str">
        <x:v>Required before mechanism synthesis, novelty boundary, or DIRECT comparison</x:v>
      </x:c>
      <x:c r="G92" s="62" t="str">
        <x:v>Resolve DOI 10.1109/cec.2012.6252969 and inspect original full text</x:v>
      </x:c>
      <x:c r="H92" s="62" t="str">
        <x:v>Medium</x:v>
      </x:c>
      <x:c r="I92" s="62" t="str">
        <x:v>Open</x:v>
      </x:c>
      <x:c r="J92" s="62" t="str"/>
      <x:c r="K92" s="62" t="n">
        <x:v>46268</x:v>
      </x:c>
      <x:c r="L92" s="62" t="str">
        <x:f>IF(COUNTA(B92:K92)=0,"",IF(A92="","MISSING ID",IFERROR(IF(AND(LEFT(A92,1)="U",LEN(A92)=4,ISNUMBER(VALUE(RIGHT(A92,3)))),"OK","CHECK ID"),"CHECK ID")))</x:f>
        <x:v>OK</x:v>
      </x:c>
    </x:row>
    <x:row r="93" ht="48" customHeight="1">
      <x:c r="A93" s="63" t="str">
        <x:v>U090</x:v>
      </x:c>
      <x:c r="B93" s="63" t="str">
        <x:v>L117</x:v>
      </x:c>
      <x:c r="C93" s="63" t="str">
        <x:v>L117-E01</x:v>
      </x:c>
      <x:c r="D93" s="63" t="str"/>
      <x:c r="E93" s="63" t="str">
        <x:v>Full-text method and experiment details not yet extracted</x:v>
      </x:c>
      <x:c r="F93" s="63" t="str">
        <x:v>Required before mechanism synthesis, novelty boundary, or DIRECT comparison</x:v>
      </x:c>
      <x:c r="G93" s="63" t="str">
        <x:v>Resolve DOI 10.1080/00207543.2011.639099 and inspect original full text</x:v>
      </x:c>
      <x:c r="H93" s="63" t="str">
        <x:v>Medium</x:v>
      </x:c>
      <x:c r="I93" s="63" t="str">
        <x:v>Open</x:v>
      </x:c>
      <x:c r="J93" s="63" t="str"/>
      <x:c r="K93" s="63" t="n">
        <x:v>46268</x:v>
      </x:c>
      <x:c r="L93" s="63" t="str">
        <x:f>IF(COUNTA(B93:K93)=0,"",IF(A93="","MISSING ID",IFERROR(IF(AND(LEFT(A93,1)="U",LEN(A93)=4,ISNUMBER(VALUE(RIGHT(A93,3)))),"OK","CHECK ID"),"CHECK ID")))</x:f>
        <x:v>OK</x:v>
      </x:c>
    </x:row>
    <x:row r="94" ht="48" customHeight="1">
      <x:c r="A94" s="62" t="str">
        <x:v>U091</x:v>
      </x:c>
      <x:c r="B94" s="62" t="str">
        <x:v>L118</x:v>
      </x:c>
      <x:c r="C94" s="62" t="str">
        <x:v>L118-E01</x:v>
      </x:c>
      <x:c r="D94" s="62" t="str"/>
      <x:c r="E94" s="62" t="str">
        <x:v>Full-text method and experiment details not yet extracted</x:v>
      </x:c>
      <x:c r="F94" s="62" t="str">
        <x:v>Required before mechanism synthesis, novelty boundary, or DIRECT comparison</x:v>
      </x:c>
      <x:c r="G94" s="62" t="str">
        <x:v>Inspect stable source https://arxiv.org/abs/0907.2993</x:v>
      </x:c>
      <x:c r="H94" s="62" t="str">
        <x:v>Medium</x:v>
      </x:c>
      <x:c r="I94" s="62" t="str">
        <x:v>Open</x:v>
      </x:c>
      <x:c r="J94" s="62" t="str"/>
      <x:c r="K94" s="62" t="n">
        <x:v>46268</x:v>
      </x:c>
      <x:c r="L94" s="62" t="str">
        <x:f>IF(COUNTA(B94:K94)=0,"",IF(A94="","MISSING ID",IFERROR(IF(AND(LEFT(A94,1)="U",LEN(A94)=4,ISNUMBER(VALUE(RIGHT(A94,3)))),"OK","CHECK ID"),"CHECK ID")))</x:f>
        <x:v>OK</x:v>
      </x:c>
    </x:row>
    <x:row r="95" ht="48" customHeight="1">
      <x:c r="A95" s="63" t="str">
        <x:v>U092</x:v>
      </x:c>
      <x:c r="B95" s="63" t="str">
        <x:v>L119</x:v>
      </x:c>
      <x:c r="C95" s="63" t="str">
        <x:v>L119-E01</x:v>
      </x:c>
      <x:c r="D95" s="63" t="str"/>
      <x:c r="E95" s="63" t="str">
        <x:v>Full-text method and experiment details not yet extracted</x:v>
      </x:c>
      <x:c r="F95" s="63" t="str">
        <x:v>Required before mechanism synthesis, novelty boundary, or DIRECT comparison</x:v>
      </x:c>
      <x:c r="G95" s="63" t="str">
        <x:v>Inspect stable source https://arxiv.org/abs/0809.0406</x:v>
      </x:c>
      <x:c r="H95" s="63" t="str">
        <x:v>Medium</x:v>
      </x:c>
      <x:c r="I95" s="63" t="str">
        <x:v>Open</x:v>
      </x:c>
      <x:c r="J95" s="63" t="str"/>
      <x:c r="K95" s="63" t="n">
        <x:v>46268</x:v>
      </x:c>
      <x:c r="L95" s="63" t="str">
        <x:f>IF(COUNTA(B95:K95)=0,"",IF(A95="","MISSING ID",IFERROR(IF(AND(LEFT(A95,1)="U",LEN(A95)=4,ISNUMBER(VALUE(RIGHT(A95,3)))),"OK","CHECK ID"),"CHECK ID")))</x:f>
        <x:v>OK</x:v>
      </x:c>
    </x:row>
    <x:row r="96" ht="48" customHeight="1">
      <x:c r="A96" s="62" t="str">
        <x:v>U093</x:v>
      </x:c>
      <x:c r="B96" s="62" t="str">
        <x:v>L120</x:v>
      </x:c>
      <x:c r="C96" s="62" t="str">
        <x:v>L120-E01</x:v>
      </x:c>
      <x:c r="D96" s="62" t="str"/>
      <x:c r="E96" s="62" t="str">
        <x:v>Full-text method and experiment details not yet extracted</x:v>
      </x:c>
      <x:c r="F96" s="62" t="str">
        <x:v>Required before mechanism synthesis, novelty boundary, or DIRECT comparison</x:v>
      </x:c>
      <x:c r="G96" s="62" t="str">
        <x:v>Resolve DOI 10.1287/mnsc.42.6.797 and inspect original full text</x:v>
      </x:c>
      <x:c r="H96" s="62" t="str">
        <x:v>Medium</x:v>
      </x:c>
      <x:c r="I96" s="62" t="str">
        <x:v>Open</x:v>
      </x:c>
      <x:c r="J96" s="62" t="str"/>
      <x:c r="K96" s="62" t="n">
        <x:v>46268</x:v>
      </x:c>
      <x:c r="L96" s="62" t="str">
        <x:f>IF(COUNTA(B96:K96)=0,"",IF(A96="","MISSING ID",IFERROR(IF(AND(LEFT(A96,1)="U",LEN(A96)=4,ISNUMBER(VALUE(RIGHT(A96,3)))),"OK","CHECK ID"),"CHECK ID")))</x:f>
        <x:v>OK</x:v>
      </x:c>
    </x:row>
    <x:row r="97" ht="48" customHeight="1">
      <x:c r="A97" s="63" t="str">
        <x:v>U094</x:v>
      </x:c>
      <x:c r="B97" s="63" t="str">
        <x:v>L121</x:v>
      </x:c>
      <x:c r="C97" s="63" t="str">
        <x:v>L121-E01</x:v>
      </x:c>
      <x:c r="D97" s="63" t="str"/>
      <x:c r="E97" s="63" t="str">
        <x:v>Full-text method and experiment details not yet extracted</x:v>
      </x:c>
      <x:c r="F97" s="63" t="str">
        <x:v>Required before mechanism synthesis, novelty boundary, or DIRECT comparison</x:v>
      </x:c>
      <x:c r="G97" s="63" t="str">
        <x:v>Resolve DOI 10.1016/j.ejor.2023.05.017 and inspect original full text</x:v>
      </x:c>
      <x:c r="H97" s="63" t="str">
        <x:v>Medium</x:v>
      </x:c>
      <x:c r="I97" s="63" t="str">
        <x:v>Open</x:v>
      </x:c>
      <x:c r="J97" s="63" t="str"/>
      <x:c r="K97" s="63" t="n">
        <x:v>46268</x:v>
      </x:c>
      <x:c r="L97" s="63" t="str">
        <x:f>IF(COUNTA(B97:K97)=0,"",IF(A97="","MISSING ID",IFERROR(IF(AND(LEFT(A97,1)="U",LEN(A97)=4,ISNUMBER(VALUE(RIGHT(A97,3)))),"OK","CHECK ID"),"CHECK ID")))</x:f>
        <x:v>OK</x:v>
      </x:c>
    </x:row>
    <x:row r="98" ht="48" customHeight="1">
      <x:c r="A98" s="62" t="str">
        <x:v>U095</x:v>
      </x:c>
      <x:c r="B98" s="62" t="str">
        <x:v>L122</x:v>
      </x:c>
      <x:c r="C98" s="62" t="str">
        <x:v>L122-E01</x:v>
      </x:c>
      <x:c r="D98" s="62" t="str"/>
      <x:c r="E98" s="62" t="str">
        <x:v>Full-text method and experiment details not yet extracted</x:v>
      </x:c>
      <x:c r="F98" s="62" t="str">
        <x:v>Required before mechanism synthesis, novelty boundary, or DIRECT comparison</x:v>
      </x:c>
      <x:c r="G98" s="62" t="str">
        <x:v>Resolve DOI 10.1016/j.cor.2022.105903 and inspect original full text</x:v>
      </x:c>
      <x:c r="H98" s="62" t="str">
        <x:v>Medium</x:v>
      </x:c>
      <x:c r="I98" s="62" t="str">
        <x:v>Open</x:v>
      </x:c>
      <x:c r="J98" s="62" t="str"/>
      <x:c r="K98" s="62" t="n">
        <x:v>46268</x:v>
      </x:c>
      <x:c r="L98" s="62" t="str">
        <x:f>IF(COUNTA(B98:K98)=0,"",IF(A98="","MISSING ID",IFERROR(IF(AND(LEFT(A98,1)="U",LEN(A98)=4,ISNUMBER(VALUE(RIGHT(A98,3)))),"OK","CHECK ID"),"CHECK ID")))</x:f>
        <x:v>OK</x:v>
      </x:c>
    </x:row>
  </x:sheetData>
  <x:mergeCells>
    <x:mergeCell ref="A1:L1"/>
    <x:mergeCell ref="A2:L2"/>
  </x:mergeCells>
  <x:dataValidations count="2">
    <x:dataValidation type="list" sqref="H4:H24">
      <x:formula1>"High,Medium,Low"</x:formula1>
    </x:dataValidation>
    <x:dataValidation type="list" sqref="I4:I24">
      <x:formula1>"Not started,In progress,Awaiting approval,Complete,Retired"</x:formula1>
    </x:dataValidation>
  </x:dataValidations>
  <x:pageMargins left="0.7" right="0.7" top="0.75" bottom="0.75" header="0.3" footer="0.3"/>
  <x:tableParts count="1">
    <x:tablePart xmlns:r="http://schemas.openxmlformats.org/officeDocument/2006/relationships" r:id="R04b3e26e2fd54d1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13" hidden="0" customWidth="1"/>
    <x:col min="3" max="3" width="44" hidden="0" customWidth="1"/>
    <x:col min="4" max="4" width="42" hidden="0" customWidth="1"/>
    <x:col min="5" max="5" width="20" hidden="0" customWidth="1"/>
    <x:col min="6" max="6" width="22" hidden="0" customWidth="1"/>
    <x:col min="7" max="7" width="15" hidden="0" customWidth="1"/>
  </x:cols>
  <x:sheetData>
    <x:row r="1" ht="24" customHeight="1">
      <x:c r="A1" s="34" t="str">
        <x:v>Version Log</x:v>
      </x:c>
      <x:c r="B1" s="35"/>
      <x:c r="C1" s="35"/>
      <x:c r="D1" s="35"/>
      <x:c r="E1" s="35"/>
      <x:c r="F1" s="35"/>
      <x:c r="G1" s="36"/>
    </x:row>
    <x:row r="2" ht="24" customHeight="1">
      <x:c r="A2" s="37" t="str">
        <x:v>Editable review matrix. Use controlled values where available; select other and fill the labelled taxonomy-extension detail only when needed.</x:v>
      </x:c>
      <x:c r="B2" s="38"/>
      <x:c r="C2" s="38"/>
      <x:c r="D2" s="38"/>
      <x:c r="E2" s="38"/>
      <x:c r="F2" s="38"/>
      <x:c r="G2" s="39"/>
    </x:row>
    <x:row r="3" ht="24" customHeight="1">
      <x:c r="A3" s="20" t="str">
        <x:v>Version</x:v>
      </x:c>
      <x:c r="B3" s="21" t="str">
        <x:v>Date</x:v>
      </x:c>
      <x:c r="C3" s="21" t="str">
        <x:v>Change summary</x:v>
      </x:c>
      <x:c r="D3" s="21" t="str">
        <x:v>Scope / evidence impact</x:v>
      </x:c>
      <x:c r="E3" s="21" t="str">
        <x:v>Reviewed by</x:v>
      </x:c>
      <x:c r="F3" s="21" t="str">
        <x:v>Approval / review status</x:v>
      </x:c>
      <x:c r="G3" s="22" t="str">
        <x:v>Version check</x:v>
      </x:c>
    </x:row>
    <x:row r="4" ht="48" customHeight="1">
      <x:c r="A4" s="47" t="str">
        <x:v>0.1</x:v>
      </x:c>
      <x:c r="B4" s="49" t="n">
        <x:v>46268</x:v>
      </x:c>
      <x:c r="C4" s="48" t="str">
        <x:v>Executed P02-SEARCH-v1.0 S1–S6; deduplicated 1357 records; retained 95 provisional candidates</x:v>
      </x:c>
      <x:c r="D4" s="48" t="str">
        <x:v>Search-stage evidence only; all mechanism and comparison claims remain unresolved</x:v>
      </x:c>
      <x:c r="E4" s="48" t="str">
        <x:v>Codex</x:v>
      </x:c>
      <x:c r="F4" s="48" t="str">
        <x:v>Search-stage complete</x:v>
      </x:c>
      <x:c r="G4" s="50" t="str">
        <x:f>IF(COUNTA(B4:F4)=0,"",IF(A4="","MISSING ID","OK"))</x:f>
        <x:v>OK</x:v>
      </x:c>
    </x:row>
    <x:row r="5">
      <x:c r="A5" s="42"/>
      <x:c r="B5" s="31"/>
      <x:c r="C5" s="29"/>
      <x:c r="D5" s="29"/>
      <x:c r="E5" s="29"/>
      <x:c r="F5" s="29"/>
      <x:c r="G5" s="41"/>
    </x:row>
    <x:row r="6">
      <x:c r="A6" s="42"/>
      <x:c r="B6" s="31"/>
      <x:c r="C6" s="29"/>
      <x:c r="D6" s="29"/>
      <x:c r="E6" s="29"/>
      <x:c r="F6" s="29"/>
      <x:c r="G6" s="41"/>
    </x:row>
    <x:row r="7">
      <x:c r="A7" s="42"/>
      <x:c r="B7" s="31"/>
      <x:c r="C7" s="29"/>
      <x:c r="D7" s="29"/>
      <x:c r="E7" s="29"/>
      <x:c r="F7" s="29"/>
      <x:c r="G7" s="41"/>
    </x:row>
    <x:row r="8">
      <x:c r="A8" s="42"/>
      <x:c r="B8" s="31"/>
      <x:c r="C8" s="29"/>
      <x:c r="D8" s="29"/>
      <x:c r="E8" s="29"/>
      <x:c r="F8" s="29"/>
      <x:c r="G8" s="41"/>
    </x:row>
    <x:row r="9">
      <x:c r="A9" s="42"/>
      <x:c r="B9" s="31"/>
      <x:c r="C9" s="29"/>
      <x:c r="D9" s="29"/>
      <x:c r="E9" s="29"/>
      <x:c r="F9" s="29"/>
      <x:c r="G9" s="41"/>
    </x:row>
    <x:row r="10">
      <x:c r="A10" s="42"/>
      <x:c r="B10" s="31"/>
      <x:c r="C10" s="29"/>
      <x:c r="D10" s="29"/>
      <x:c r="E10" s="29"/>
      <x:c r="F10" s="29"/>
      <x:c r="G10" s="41"/>
    </x:row>
    <x:row r="11">
      <x:c r="A11" s="42"/>
      <x:c r="B11" s="31"/>
      <x:c r="C11" s="29"/>
      <x:c r="D11" s="29"/>
      <x:c r="E11" s="29"/>
      <x:c r="F11" s="29"/>
      <x:c r="G11" s="41"/>
    </x:row>
    <x:row r="12">
      <x:c r="A12" s="42"/>
      <x:c r="B12" s="31"/>
      <x:c r="C12" s="29"/>
      <x:c r="D12" s="29"/>
      <x:c r="E12" s="29"/>
      <x:c r="F12" s="29"/>
      <x:c r="G12" s="41"/>
    </x:row>
    <x:row r="13">
      <x:c r="A13" s="42"/>
      <x:c r="B13" s="31"/>
      <x:c r="C13" s="29"/>
      <x:c r="D13" s="29"/>
      <x:c r="E13" s="29"/>
      <x:c r="F13" s="29"/>
      <x:c r="G13" s="41"/>
    </x:row>
    <x:row r="14">
      <x:c r="A14" s="42"/>
      <x:c r="B14" s="31"/>
      <x:c r="C14" s="29"/>
      <x:c r="D14" s="29"/>
      <x:c r="E14" s="29"/>
      <x:c r="F14" s="29"/>
      <x:c r="G14" s="41"/>
    </x:row>
    <x:row r="15">
      <x:c r="A15" s="42"/>
      <x:c r="B15" s="31"/>
      <x:c r="C15" s="29"/>
      <x:c r="D15" s="29"/>
      <x:c r="E15" s="29"/>
      <x:c r="F15" s="29"/>
      <x:c r="G15" s="41"/>
    </x:row>
    <x:row r="16">
      <x:c r="A16" s="42"/>
      <x:c r="B16" s="31"/>
      <x:c r="C16" s="29"/>
      <x:c r="D16" s="29"/>
      <x:c r="E16" s="29"/>
      <x:c r="F16" s="29"/>
      <x:c r="G16" s="41"/>
    </x:row>
    <x:row r="17">
      <x:c r="A17" s="42"/>
      <x:c r="B17" s="31"/>
      <x:c r="C17" s="29"/>
      <x:c r="D17" s="29"/>
      <x:c r="E17" s="29"/>
      <x:c r="F17" s="29"/>
      <x:c r="G17" s="41"/>
    </x:row>
    <x:row r="18">
      <x:c r="A18" s="42"/>
      <x:c r="B18" s="31"/>
      <x:c r="C18" s="29"/>
      <x:c r="D18" s="29"/>
      <x:c r="E18" s="29"/>
      <x:c r="F18" s="29"/>
      <x:c r="G18" s="41"/>
    </x:row>
    <x:row r="19">
      <x:c r="A19" s="42"/>
      <x:c r="B19" s="31"/>
      <x:c r="C19" s="29"/>
      <x:c r="D19" s="29"/>
      <x:c r="E19" s="29"/>
      <x:c r="F19" s="29"/>
      <x:c r="G19" s="41"/>
    </x:row>
    <x:row r="20">
      <x:c r="A20" s="42"/>
      <x:c r="B20" s="31"/>
      <x:c r="C20" s="29"/>
      <x:c r="D20" s="29"/>
      <x:c r="E20" s="29"/>
      <x:c r="F20" s="29"/>
      <x:c r="G20" s="41"/>
    </x:row>
    <x:row r="21">
      <x:c r="A21" s="42"/>
      <x:c r="B21" s="31"/>
      <x:c r="C21" s="29"/>
      <x:c r="D21" s="29"/>
      <x:c r="E21" s="29"/>
      <x:c r="F21" s="29"/>
      <x:c r="G21" s="41"/>
    </x:row>
    <x:row r="22">
      <x:c r="A22" s="42"/>
      <x:c r="B22" s="31"/>
      <x:c r="C22" s="29"/>
      <x:c r="D22" s="29"/>
      <x:c r="E22" s="29"/>
      <x:c r="F22" s="29"/>
      <x:c r="G22" s="41"/>
    </x:row>
    <x:row r="23">
      <x:c r="A23" s="42"/>
      <x:c r="B23" s="31"/>
      <x:c r="C23" s="29"/>
      <x:c r="D23" s="29"/>
      <x:c r="E23" s="29"/>
      <x:c r="F23" s="29"/>
      <x:c r="G23" s="41"/>
    </x:row>
    <x:row r="24">
      <x:c r="A24" s="43"/>
      <x:c r="B24" s="45"/>
      <x:c r="C24" s="44"/>
      <x:c r="D24" s="44"/>
      <x:c r="E24" s="44"/>
      <x:c r="F24" s="44"/>
      <x:c r="G24" s="46" t="str">
        <x:f>IF(COUNTA(B24:F24)=0,"",IF(A24="","MISSING ID","OK"))</x:f>
      </x:c>
    </x:row>
  </x:sheetData>
  <x:mergeCells>
    <x:mergeCell ref="A1:G1"/>
    <x:mergeCell ref="A2:G2"/>
  </x:mergeCells>
  <x:dataValidations count="1">
    <x:dataValidation type="list" sqref="F4:F24">
      <x:formula1>"Not started,In progress,Awaiting approval,Complete,Retired"</x:formula1>
    </x:dataValidation>
  </x:dataValidations>
  <x:pageMargins left="0.7" right="0.7" top="0.75" bottom="0.75" header="0.3" footer="0.3"/>
  <x:tableParts count="1">
    <x:tablePart xmlns:r="http://schemas.openxmlformats.org/officeDocument/2006/relationships" r:id="Red21a85e0c124ea1"/>
  </x:tableParts>
</x:worksheet>
</file>